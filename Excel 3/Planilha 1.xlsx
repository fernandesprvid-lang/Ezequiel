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zequiel\Excel 3\"/>
    </mc:Choice>
  </mc:AlternateContent>
  <xr:revisionPtr revIDLastSave="0" documentId="8_{82300B89-4212-46B2-A3D9-58FE25EE70FD}" xr6:coauthVersionLast="47" xr6:coauthVersionMax="47" xr10:uidLastSave="{00000000-0000-0000-0000-000000000000}"/>
  <bookViews>
    <workbookView xWindow="-105" yWindow="0" windowWidth="14610" windowHeight="8205" firstSheet="2" activeTab="3" xr2:uid="{EAD7E9CC-D28D-4D45-A101-7D5749AE3C9B}"/>
  </bookViews>
  <sheets>
    <sheet name="Atividade-Trimestral 1" sheetId="1" r:id="rId1"/>
    <sheet name="Atividade-Trimestral 2" sheetId="4" r:id="rId2"/>
    <sheet name="Atividade-Trimestral 3" sheetId="5" r:id="rId3"/>
    <sheet name="Avaliação Anua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4" i="6"/>
  <c r="B5" i="6"/>
  <c r="C5" i="6"/>
  <c r="D5" i="6"/>
  <c r="B6" i="6"/>
  <c r="C6" i="6"/>
  <c r="D6" i="6"/>
  <c r="B7" i="6"/>
  <c r="C7" i="6"/>
  <c r="D7" i="6"/>
  <c r="B8" i="6"/>
  <c r="C8" i="6"/>
  <c r="D8" i="6"/>
  <c r="B9" i="6"/>
  <c r="C9" i="6"/>
  <c r="D9" i="6"/>
  <c r="B10" i="6"/>
  <c r="C10" i="6"/>
  <c r="D10" i="6"/>
  <c r="B11" i="6"/>
  <c r="C11" i="6"/>
  <c r="D11" i="6"/>
  <c r="B12" i="6"/>
  <c r="C12" i="6"/>
  <c r="D12" i="6"/>
  <c r="E5" i="6"/>
  <c r="E6" i="6"/>
  <c r="E7" i="6"/>
  <c r="E8" i="6"/>
  <c r="E9" i="6"/>
  <c r="E10" i="6"/>
  <c r="E11" i="6"/>
  <c r="E12" i="6"/>
  <c r="E4" i="6"/>
  <c r="D4" i="6"/>
  <c r="C4" i="6"/>
  <c r="B4" i="6"/>
  <c r="B17" i="5"/>
  <c r="B16" i="5"/>
  <c r="B15" i="5"/>
  <c r="G6" i="5"/>
  <c r="G7" i="5"/>
  <c r="G8" i="5"/>
  <c r="G9" i="5"/>
  <c r="G10" i="5"/>
  <c r="G11" i="5"/>
  <c r="G12" i="5"/>
  <c r="G13" i="5"/>
  <c r="G5" i="5"/>
  <c r="B17" i="4"/>
  <c r="B16" i="4"/>
  <c r="B15" i="4"/>
  <c r="G6" i="4"/>
  <c r="G7" i="4"/>
  <c r="G8" i="4"/>
  <c r="G9" i="4"/>
  <c r="G10" i="4"/>
  <c r="G11" i="4"/>
  <c r="G12" i="4"/>
  <c r="G13" i="4"/>
  <c r="G5" i="4"/>
  <c r="B17" i="1"/>
  <c r="B16" i="1"/>
  <c r="B15" i="1"/>
  <c r="G6" i="1"/>
  <c r="G7" i="1"/>
  <c r="G8" i="1"/>
  <c r="G9" i="1"/>
  <c r="G10" i="1"/>
  <c r="G11" i="1"/>
  <c r="G12" i="1"/>
  <c r="G13" i="1"/>
  <c r="G5" i="1"/>
</calcChain>
</file>

<file path=xl/sharedStrings.xml><?xml version="1.0" encoding="utf-8"?>
<sst xmlns="http://schemas.openxmlformats.org/spreadsheetml/2006/main" count="85" uniqueCount="30">
  <si>
    <t>Escola Fundamental</t>
  </si>
  <si>
    <t>Avaliação 1o. Trimestre</t>
  </si>
  <si>
    <t>André Pinheiro</t>
  </si>
  <si>
    <t>Disciplinas</t>
  </si>
  <si>
    <t>Participação</t>
  </si>
  <si>
    <t>Trabalho</t>
  </si>
  <si>
    <t>Avaliação Periódica</t>
  </si>
  <si>
    <t>Prova Final</t>
  </si>
  <si>
    <t>No. De faltas</t>
  </si>
  <si>
    <t>Média</t>
  </si>
  <si>
    <t>Matemática</t>
  </si>
  <si>
    <t>História</t>
  </si>
  <si>
    <t>Língua Potuguesa</t>
  </si>
  <si>
    <t>Geografia</t>
  </si>
  <si>
    <t>Ciências</t>
  </si>
  <si>
    <t>Educação Artística</t>
  </si>
  <si>
    <t>Educação Física</t>
  </si>
  <si>
    <t>Ensino Religioso</t>
  </si>
  <si>
    <t>Informática</t>
  </si>
  <si>
    <t>Total de Faltas</t>
  </si>
  <si>
    <t>Maior Nota</t>
  </si>
  <si>
    <t>Menor Nota</t>
  </si>
  <si>
    <t>Aluno</t>
  </si>
  <si>
    <t>1o Trimestre</t>
  </si>
  <si>
    <t>2o. Trimestre</t>
  </si>
  <si>
    <t>3o. Trimestre</t>
  </si>
  <si>
    <t>Faltas</t>
  </si>
  <si>
    <t>Média Final</t>
  </si>
  <si>
    <t>Matématica</t>
  </si>
  <si>
    <t>Língua Portuguesa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</si>
</sst>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left" indent="1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 indent="1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0" fillId="2" borderId="0" xfId="0" applyFill="1"/>
    <xf numFmtId="165" fontId="1" fillId="0" borderId="1" xfId="0" applyNumberFormat="1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B151-BFCA-41CA-8225-D1365430F59C}">
  <dimension ref="A1:G17"/>
  <sheetViews>
    <sheetView topLeftCell="A4" workbookViewId="0">
      <selection activeCell="H13" sqref="H13"/>
    </sheetView>
  </sheetViews>
  <sheetFormatPr defaultRowHeight="15" x14ac:dyDescent="0.25"/>
  <cols>
    <col min="1" max="1" width="24.7109375" customWidth="1"/>
    <col min="2" max="2" width="10.7109375" customWidth="1"/>
    <col min="3" max="3" width="10.28515625" customWidth="1"/>
    <col min="4" max="7" width="10.140625" customWidth="1"/>
  </cols>
  <sheetData>
    <row r="1" spans="1:7" ht="15" customHeight="1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57.75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62.2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B5" s="6">
        <v>6.25</v>
      </c>
      <c r="C5" s="6">
        <v>7.25</v>
      </c>
      <c r="D5" s="6">
        <v>6</v>
      </c>
      <c r="E5" s="6">
        <v>5</v>
      </c>
      <c r="F5" s="7">
        <v>20</v>
      </c>
      <c r="G5" s="16">
        <f>AVERAGE(B5:E5)</f>
        <v>6.125</v>
      </c>
    </row>
    <row r="6" spans="1:7" x14ac:dyDescent="0.25">
      <c r="A6" s="5" t="s">
        <v>11</v>
      </c>
      <c r="B6" s="6">
        <v>4</v>
      </c>
      <c r="C6" s="6">
        <v>5.5</v>
      </c>
      <c r="D6" s="6">
        <v>6</v>
      </c>
      <c r="E6" s="6">
        <v>6</v>
      </c>
      <c r="F6" s="7">
        <v>6</v>
      </c>
      <c r="G6" s="16">
        <f t="shared" ref="G6:G13" si="0">AVERAGE(B6:E6)</f>
        <v>5.375</v>
      </c>
    </row>
    <row r="7" spans="1:7" x14ac:dyDescent="0.25">
      <c r="A7" s="5" t="s">
        <v>12</v>
      </c>
      <c r="B7" s="6">
        <v>6.25</v>
      </c>
      <c r="C7" s="6">
        <v>5.25</v>
      </c>
      <c r="D7" s="6">
        <v>8.25</v>
      </c>
      <c r="E7" s="6">
        <v>7</v>
      </c>
      <c r="F7" s="7">
        <v>5</v>
      </c>
      <c r="G7" s="16">
        <f t="shared" si="0"/>
        <v>6.6875</v>
      </c>
    </row>
    <row r="8" spans="1:7" x14ac:dyDescent="0.25">
      <c r="A8" s="5" t="s">
        <v>13</v>
      </c>
      <c r="B8" s="6">
        <v>5.5</v>
      </c>
      <c r="C8" s="6">
        <v>8</v>
      </c>
      <c r="D8" s="6">
        <v>6.5</v>
      </c>
      <c r="E8" s="6">
        <v>7.25</v>
      </c>
      <c r="F8" s="7">
        <v>0</v>
      </c>
      <c r="G8" s="16">
        <f t="shared" si="0"/>
        <v>6.8125</v>
      </c>
    </row>
    <row r="9" spans="1:7" x14ac:dyDescent="0.25">
      <c r="A9" s="5" t="s">
        <v>14</v>
      </c>
      <c r="B9" s="6">
        <v>7</v>
      </c>
      <c r="C9" s="6">
        <v>9.5</v>
      </c>
      <c r="D9" s="6">
        <v>8.25</v>
      </c>
      <c r="E9" s="6">
        <v>7</v>
      </c>
      <c r="F9" s="7">
        <v>0</v>
      </c>
      <c r="G9" s="16">
        <f t="shared" si="0"/>
        <v>7.9375</v>
      </c>
    </row>
    <row r="10" spans="1:7" x14ac:dyDescent="0.25">
      <c r="A10" s="5" t="s">
        <v>15</v>
      </c>
      <c r="B10" s="6">
        <v>9.25</v>
      </c>
      <c r="C10" s="6">
        <v>8</v>
      </c>
      <c r="D10" s="6">
        <v>9</v>
      </c>
      <c r="E10" s="6">
        <v>10</v>
      </c>
      <c r="F10" s="7">
        <v>2</v>
      </c>
      <c r="G10" s="16">
        <f t="shared" si="0"/>
        <v>9.0625</v>
      </c>
    </row>
    <row r="11" spans="1:7" x14ac:dyDescent="0.25">
      <c r="A11" s="5" t="s">
        <v>16</v>
      </c>
      <c r="B11" s="6">
        <v>8</v>
      </c>
      <c r="C11" s="6">
        <v>9.5</v>
      </c>
      <c r="D11" s="6">
        <v>8</v>
      </c>
      <c r="E11" s="6">
        <v>8</v>
      </c>
      <c r="F11" s="7">
        <v>0</v>
      </c>
      <c r="G11" s="16">
        <f t="shared" si="0"/>
        <v>8.375</v>
      </c>
    </row>
    <row r="12" spans="1:7" x14ac:dyDescent="0.25">
      <c r="A12" s="5" t="s">
        <v>17</v>
      </c>
      <c r="B12" s="6">
        <v>7.25</v>
      </c>
      <c r="C12" s="6">
        <v>8.25</v>
      </c>
      <c r="D12" s="6">
        <v>6.5</v>
      </c>
      <c r="E12" s="6">
        <v>9.25</v>
      </c>
      <c r="F12" s="7">
        <v>2</v>
      </c>
      <c r="G12" s="16">
        <f t="shared" si="0"/>
        <v>7.8125</v>
      </c>
    </row>
    <row r="13" spans="1:7" x14ac:dyDescent="0.25">
      <c r="A13" s="5" t="s">
        <v>18</v>
      </c>
      <c r="B13" s="6">
        <v>10</v>
      </c>
      <c r="C13" s="6">
        <v>8.25</v>
      </c>
      <c r="D13" s="6">
        <v>7</v>
      </c>
      <c r="E13" s="6">
        <v>9.5</v>
      </c>
      <c r="F13" s="7">
        <v>0</v>
      </c>
      <c r="G13" s="16">
        <f t="shared" si="0"/>
        <v>8.6875</v>
      </c>
    </row>
    <row r="15" spans="1:7" x14ac:dyDescent="0.25">
      <c r="A15" s="8" t="s">
        <v>19</v>
      </c>
      <c r="B15" s="17">
        <f>SUM(F5:F13)</f>
        <v>35</v>
      </c>
    </row>
    <row r="16" spans="1:7" x14ac:dyDescent="0.25">
      <c r="A16" s="8" t="s">
        <v>20</v>
      </c>
      <c r="B16" s="16">
        <f>MAX(G5:G13)</f>
        <v>9.0625</v>
      </c>
    </row>
    <row r="17" spans="1:2" x14ac:dyDescent="0.25">
      <c r="A17" s="8" t="s">
        <v>21</v>
      </c>
      <c r="B17" s="16">
        <f>MIN(G5:G13)</f>
        <v>5.375</v>
      </c>
    </row>
  </sheetData>
  <mergeCells count="8">
    <mergeCell ref="F3:F4"/>
    <mergeCell ref="G3:G4"/>
    <mergeCell ref="A1:G1"/>
    <mergeCell ref="A2:G2"/>
    <mergeCell ref="B3:B4"/>
    <mergeCell ref="C3:C4"/>
    <mergeCell ref="D3:D4"/>
    <mergeCell ref="E3:E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FF2D-0EA3-4888-A026-DF3A385EA688}">
  <dimension ref="A1:G17"/>
  <sheetViews>
    <sheetView topLeftCell="A2" workbookViewId="0">
      <selection activeCell="B15" sqref="B15:B17"/>
    </sheetView>
  </sheetViews>
  <sheetFormatPr defaultRowHeight="15" x14ac:dyDescent="0.25"/>
  <cols>
    <col min="1" max="1" width="23.42578125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57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54.7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B5" s="6">
        <v>7</v>
      </c>
      <c r="C5" s="6">
        <v>5</v>
      </c>
      <c r="D5" s="6">
        <v>5.5</v>
      </c>
      <c r="E5" s="6">
        <v>5.5</v>
      </c>
      <c r="F5" s="7">
        <v>21</v>
      </c>
      <c r="G5" s="18">
        <f>AVERAGE(B5:E5)</f>
        <v>5.75</v>
      </c>
    </row>
    <row r="6" spans="1:7" x14ac:dyDescent="0.25">
      <c r="A6" s="5" t="s">
        <v>11</v>
      </c>
      <c r="B6" s="6">
        <v>7</v>
      </c>
      <c r="C6" s="6">
        <v>6</v>
      </c>
      <c r="D6" s="6">
        <v>7</v>
      </c>
      <c r="E6" s="6">
        <v>7</v>
      </c>
      <c r="F6" s="7">
        <v>6</v>
      </c>
      <c r="G6" s="18">
        <f t="shared" ref="G6:G13" si="0">AVERAGE(B6:E6)</f>
        <v>6.75</v>
      </c>
    </row>
    <row r="7" spans="1:7" x14ac:dyDescent="0.25">
      <c r="A7" s="5" t="s">
        <v>12</v>
      </c>
      <c r="B7" s="6">
        <v>8</v>
      </c>
      <c r="C7" s="6">
        <v>6</v>
      </c>
      <c r="D7" s="6">
        <v>8</v>
      </c>
      <c r="E7" s="6">
        <v>7</v>
      </c>
      <c r="F7" s="7">
        <v>5</v>
      </c>
      <c r="G7" s="18">
        <f t="shared" si="0"/>
        <v>7.25</v>
      </c>
    </row>
    <row r="8" spans="1:7" x14ac:dyDescent="0.25">
      <c r="A8" s="5" t="s">
        <v>13</v>
      </c>
      <c r="B8" s="6">
        <v>7</v>
      </c>
      <c r="C8" s="6">
        <v>7</v>
      </c>
      <c r="D8" s="6">
        <v>7</v>
      </c>
      <c r="E8" s="6">
        <v>7.25</v>
      </c>
      <c r="F8" s="7">
        <v>0</v>
      </c>
      <c r="G8" s="18">
        <f t="shared" si="0"/>
        <v>7.0625</v>
      </c>
    </row>
    <row r="9" spans="1:7" x14ac:dyDescent="0.25">
      <c r="A9" s="5" t="s">
        <v>14</v>
      </c>
      <c r="B9" s="6">
        <v>7</v>
      </c>
      <c r="C9" s="6">
        <v>6</v>
      </c>
      <c r="D9" s="6">
        <v>8.25</v>
      </c>
      <c r="E9" s="6">
        <v>7</v>
      </c>
      <c r="F9" s="7">
        <v>0</v>
      </c>
      <c r="G9" s="18">
        <f t="shared" si="0"/>
        <v>7.0625</v>
      </c>
    </row>
    <row r="10" spans="1:7" x14ac:dyDescent="0.25">
      <c r="A10" s="5" t="s">
        <v>15</v>
      </c>
      <c r="B10" s="6">
        <v>7</v>
      </c>
      <c r="C10" s="6">
        <v>7</v>
      </c>
      <c r="D10" s="6">
        <v>6</v>
      </c>
      <c r="E10" s="6">
        <v>10</v>
      </c>
      <c r="F10" s="7">
        <v>2</v>
      </c>
      <c r="G10" s="18">
        <f t="shared" si="0"/>
        <v>7.5</v>
      </c>
    </row>
    <row r="11" spans="1:7" x14ac:dyDescent="0.25">
      <c r="A11" s="5" t="s">
        <v>16</v>
      </c>
      <c r="B11" s="6">
        <v>8</v>
      </c>
      <c r="C11" s="6">
        <v>7</v>
      </c>
      <c r="D11" s="6">
        <v>7</v>
      </c>
      <c r="E11" s="6">
        <v>7</v>
      </c>
      <c r="F11" s="7">
        <v>0</v>
      </c>
      <c r="G11" s="18">
        <f t="shared" si="0"/>
        <v>7.25</v>
      </c>
    </row>
    <row r="12" spans="1:7" x14ac:dyDescent="0.25">
      <c r="A12" s="5" t="s">
        <v>17</v>
      </c>
      <c r="B12" s="6">
        <v>7.25</v>
      </c>
      <c r="C12" s="6">
        <v>8</v>
      </c>
      <c r="D12" s="6">
        <v>7</v>
      </c>
      <c r="E12" s="6">
        <v>9.25</v>
      </c>
      <c r="F12" s="7">
        <v>2</v>
      </c>
      <c r="G12" s="18">
        <f t="shared" si="0"/>
        <v>7.875</v>
      </c>
    </row>
    <row r="13" spans="1:7" x14ac:dyDescent="0.25">
      <c r="A13" s="5" t="s">
        <v>18</v>
      </c>
      <c r="B13" s="6">
        <v>7</v>
      </c>
      <c r="C13" s="6">
        <v>7</v>
      </c>
      <c r="D13" s="6">
        <v>7</v>
      </c>
      <c r="E13" s="6">
        <v>9.5</v>
      </c>
      <c r="F13" s="7">
        <v>0</v>
      </c>
      <c r="G13" s="18">
        <f t="shared" si="0"/>
        <v>7.625</v>
      </c>
    </row>
    <row r="15" spans="1:7" x14ac:dyDescent="0.25">
      <c r="A15" s="8" t="s">
        <v>19</v>
      </c>
      <c r="B15" s="17">
        <f>SUM(F5:F13)</f>
        <v>36</v>
      </c>
    </row>
    <row r="16" spans="1:7" x14ac:dyDescent="0.25">
      <c r="A16" s="8" t="s">
        <v>20</v>
      </c>
      <c r="B16" s="18">
        <f>MAX(G5:G13)</f>
        <v>7.875</v>
      </c>
    </row>
    <row r="17" spans="1:2" x14ac:dyDescent="0.25">
      <c r="A17" s="8" t="s">
        <v>21</v>
      </c>
      <c r="B17" s="18">
        <f>MIN(G5:G13)</f>
        <v>5.75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2E6C-19A3-4854-9651-001D5DCBE2C2}">
  <dimension ref="A1:G17"/>
  <sheetViews>
    <sheetView topLeftCell="A2" workbookViewId="0">
      <selection activeCell="B15" sqref="B15:B17"/>
    </sheetView>
  </sheetViews>
  <sheetFormatPr defaultRowHeight="15" x14ac:dyDescent="0.25"/>
  <cols>
    <col min="1" max="1" width="22.85546875" customWidth="1"/>
  </cols>
  <sheetData>
    <row r="1" spans="1:7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ht="56.25" customHeight="1" x14ac:dyDescent="0.25">
      <c r="A3" s="3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</row>
    <row r="4" spans="1:7" ht="52.5" customHeight="1" x14ac:dyDescent="0.25">
      <c r="A4" s="3" t="s">
        <v>3</v>
      </c>
      <c r="B4" s="4"/>
      <c r="C4" s="4"/>
      <c r="D4" s="4"/>
      <c r="E4" s="4"/>
      <c r="F4" s="4"/>
      <c r="G4" s="4"/>
    </row>
    <row r="5" spans="1:7" x14ac:dyDescent="0.25">
      <c r="A5" s="5" t="s">
        <v>10</v>
      </c>
      <c r="B5" s="6">
        <v>5</v>
      </c>
      <c r="C5" s="6">
        <v>5</v>
      </c>
      <c r="D5" s="6">
        <v>4</v>
      </c>
      <c r="E5" s="6">
        <v>4</v>
      </c>
      <c r="F5" s="7">
        <v>1</v>
      </c>
      <c r="G5" s="18">
        <f>AVERAGE(B5:E5)</f>
        <v>4.5</v>
      </c>
    </row>
    <row r="6" spans="1:7" x14ac:dyDescent="0.25">
      <c r="A6" s="5" t="s">
        <v>11</v>
      </c>
      <c r="B6" s="6">
        <v>8</v>
      </c>
      <c r="C6" s="6">
        <v>6</v>
      </c>
      <c r="D6" s="6">
        <v>6</v>
      </c>
      <c r="E6" s="6">
        <v>8</v>
      </c>
      <c r="F6" s="7">
        <v>2</v>
      </c>
      <c r="G6" s="18">
        <f t="shared" ref="G6:G13" si="0">AVERAGE(B6:E6)</f>
        <v>7</v>
      </c>
    </row>
    <row r="7" spans="1:7" x14ac:dyDescent="0.25">
      <c r="A7" s="5" t="s">
        <v>12</v>
      </c>
      <c r="B7" s="6">
        <v>6.25</v>
      </c>
      <c r="C7" s="6">
        <v>5.25</v>
      </c>
      <c r="D7" s="6">
        <v>8.25</v>
      </c>
      <c r="E7" s="6">
        <v>7</v>
      </c>
      <c r="F7" s="7">
        <v>1</v>
      </c>
      <c r="G7" s="18">
        <f t="shared" si="0"/>
        <v>6.6875</v>
      </c>
    </row>
    <row r="8" spans="1:7" x14ac:dyDescent="0.25">
      <c r="A8" s="5" t="s">
        <v>13</v>
      </c>
      <c r="B8" s="6">
        <v>5.5</v>
      </c>
      <c r="C8" s="6">
        <v>8</v>
      </c>
      <c r="D8" s="6">
        <v>6.5</v>
      </c>
      <c r="E8" s="6">
        <v>7.25</v>
      </c>
      <c r="F8" s="7">
        <v>2</v>
      </c>
      <c r="G8" s="18">
        <f t="shared" si="0"/>
        <v>6.8125</v>
      </c>
    </row>
    <row r="9" spans="1:7" x14ac:dyDescent="0.25">
      <c r="A9" s="5" t="s">
        <v>14</v>
      </c>
      <c r="B9" s="6">
        <v>7</v>
      </c>
      <c r="C9" s="6">
        <v>9.5</v>
      </c>
      <c r="D9" s="6">
        <v>8.25</v>
      </c>
      <c r="E9" s="6">
        <v>7</v>
      </c>
      <c r="F9" s="7">
        <v>2</v>
      </c>
      <c r="G9" s="18">
        <f t="shared" si="0"/>
        <v>7.9375</v>
      </c>
    </row>
    <row r="10" spans="1:7" x14ac:dyDescent="0.25">
      <c r="A10" s="5" t="s">
        <v>15</v>
      </c>
      <c r="B10" s="6">
        <v>9.25</v>
      </c>
      <c r="C10" s="6">
        <v>8</v>
      </c>
      <c r="D10" s="6">
        <v>9</v>
      </c>
      <c r="E10" s="6">
        <v>10</v>
      </c>
      <c r="F10" s="7">
        <v>1</v>
      </c>
      <c r="G10" s="18">
        <f t="shared" si="0"/>
        <v>9.0625</v>
      </c>
    </row>
    <row r="11" spans="1:7" x14ac:dyDescent="0.25">
      <c r="A11" s="5" t="s">
        <v>16</v>
      </c>
      <c r="B11" s="6">
        <v>8</v>
      </c>
      <c r="C11" s="6">
        <v>10</v>
      </c>
      <c r="D11" s="6">
        <v>9</v>
      </c>
      <c r="E11" s="6">
        <v>9</v>
      </c>
      <c r="F11" s="7">
        <v>0</v>
      </c>
      <c r="G11" s="18">
        <f t="shared" si="0"/>
        <v>9</v>
      </c>
    </row>
    <row r="12" spans="1:7" x14ac:dyDescent="0.25">
      <c r="A12" s="5" t="s">
        <v>17</v>
      </c>
      <c r="B12" s="6">
        <v>7.25</v>
      </c>
      <c r="C12" s="6">
        <v>8.25</v>
      </c>
      <c r="D12" s="6">
        <v>6.5</v>
      </c>
      <c r="E12" s="6">
        <v>9.25</v>
      </c>
      <c r="F12" s="7">
        <v>0</v>
      </c>
      <c r="G12" s="18">
        <f t="shared" si="0"/>
        <v>7.8125</v>
      </c>
    </row>
    <row r="13" spans="1:7" x14ac:dyDescent="0.25">
      <c r="A13" s="5" t="s">
        <v>18</v>
      </c>
      <c r="B13" s="6">
        <v>10</v>
      </c>
      <c r="C13" s="6">
        <v>8.25</v>
      </c>
      <c r="D13" s="6">
        <v>7</v>
      </c>
      <c r="E13" s="6">
        <v>9.5</v>
      </c>
      <c r="F13" s="7">
        <v>0</v>
      </c>
      <c r="G13" s="18">
        <f t="shared" si="0"/>
        <v>8.6875</v>
      </c>
    </row>
    <row r="15" spans="1:7" x14ac:dyDescent="0.25">
      <c r="A15" s="8" t="s">
        <v>19</v>
      </c>
      <c r="B15" s="17">
        <f>SUM(F5:F13)</f>
        <v>9</v>
      </c>
    </row>
    <row r="16" spans="1:7" x14ac:dyDescent="0.25">
      <c r="A16" s="8" t="s">
        <v>20</v>
      </c>
      <c r="B16" s="18">
        <f>MAX(G5:G13)</f>
        <v>9.0625</v>
      </c>
    </row>
    <row r="17" spans="1:2" x14ac:dyDescent="0.25">
      <c r="A17" s="8" t="s">
        <v>21</v>
      </c>
      <c r="B17" s="18">
        <f>MIN(G5:G13)</f>
        <v>4.5</v>
      </c>
    </row>
  </sheetData>
  <mergeCells count="8">
    <mergeCell ref="A1:G1"/>
    <mergeCell ref="A2:G2"/>
    <mergeCell ref="B3:B4"/>
    <mergeCell ref="C3:C4"/>
    <mergeCell ref="D3:D4"/>
    <mergeCell ref="E3:E4"/>
    <mergeCell ref="F3:F4"/>
    <mergeCell ref="G3:G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AA3B-9FD0-4292-9192-ADA13C00A1DE}">
  <dimension ref="A1:F13"/>
  <sheetViews>
    <sheetView tabSelected="1" topLeftCell="A3" workbookViewId="0">
      <selection activeCell="H7" sqref="H7"/>
    </sheetView>
  </sheetViews>
  <sheetFormatPr defaultRowHeight="15" x14ac:dyDescent="0.25"/>
  <cols>
    <col min="1" max="1" width="18.7109375" customWidth="1"/>
    <col min="2" max="2" width="13.140625" customWidth="1"/>
    <col min="3" max="3" width="12.7109375" customWidth="1"/>
    <col min="4" max="4" width="13.42578125" customWidth="1"/>
    <col min="5" max="5" width="8.5703125" customWidth="1"/>
    <col min="6" max="6" width="11.28515625" customWidth="1"/>
  </cols>
  <sheetData>
    <row r="1" spans="1:6" x14ac:dyDescent="0.25">
      <c r="A1" s="11" t="s">
        <v>0</v>
      </c>
      <c r="B1" s="11"/>
      <c r="C1" s="11"/>
      <c r="D1" s="11"/>
      <c r="E1" s="11"/>
      <c r="F1" s="11"/>
    </row>
    <row r="2" spans="1:6" x14ac:dyDescent="0.25">
      <c r="A2" s="12" t="s">
        <v>22</v>
      </c>
      <c r="B2" s="13" t="s">
        <v>2</v>
      </c>
      <c r="C2" s="13"/>
      <c r="D2" s="13"/>
      <c r="E2" s="13"/>
      <c r="F2" s="13"/>
    </row>
    <row r="3" spans="1:6" x14ac:dyDescent="0.25">
      <c r="A3" s="10" t="s">
        <v>3</v>
      </c>
      <c r="B3" s="14" t="s">
        <v>23</v>
      </c>
      <c r="C3" s="14" t="s">
        <v>24</v>
      </c>
      <c r="D3" s="14" t="s">
        <v>25</v>
      </c>
      <c r="E3" s="10" t="s">
        <v>26</v>
      </c>
      <c r="F3" s="10" t="s">
        <v>27</v>
      </c>
    </row>
    <row r="4" spans="1:6" x14ac:dyDescent="0.25">
      <c r="A4" t="s">
        <v>28</v>
      </c>
      <c r="B4" s="20">
        <f>'Atividade-Trimestral 1'!G5</f>
        <v>6.125</v>
      </c>
      <c r="C4" s="20">
        <f>'Atividade-Trimestral 2'!G5</f>
        <v>5.75</v>
      </c>
      <c r="D4" s="20">
        <f>'Atividade-Trimestral 3'!G5</f>
        <v>4.5</v>
      </c>
      <c r="E4" s="21">
        <f>'Atividade-Trimestral 2'!F5+'Atividade-Trimestral 1'!F5+'Atividade-Trimestral 3'!F5</f>
        <v>42</v>
      </c>
      <c r="F4" s="19">
        <f>AVERAGE(B4:D4)</f>
        <v>5.458333333333333</v>
      </c>
    </row>
    <row r="5" spans="1:6" x14ac:dyDescent="0.25">
      <c r="A5" t="s">
        <v>11</v>
      </c>
      <c r="B5" s="20">
        <f>'Atividade-Trimestral 1'!G6</f>
        <v>5.375</v>
      </c>
      <c r="C5" s="20">
        <f>'Atividade-Trimestral 2'!G6</f>
        <v>6.75</v>
      </c>
      <c r="D5" s="20">
        <f>'Atividade-Trimestral 3'!G6</f>
        <v>7</v>
      </c>
      <c r="E5" s="21">
        <f>'Atividade-Trimestral 2'!F6+'Atividade-Trimestral 1'!F6+'Atividade-Trimestral 3'!F6</f>
        <v>14</v>
      </c>
      <c r="F5" s="19">
        <f t="shared" ref="F5:F12" si="0">AVERAGE(B5:D5)</f>
        <v>6.375</v>
      </c>
    </row>
    <row r="6" spans="1:6" x14ac:dyDescent="0.25">
      <c r="A6" t="s">
        <v>29</v>
      </c>
      <c r="B6" s="20">
        <f>'Atividade-Trimestral 1'!G7</f>
        <v>6.6875</v>
      </c>
      <c r="C6" s="20">
        <f>'Atividade-Trimestral 2'!G7</f>
        <v>7.25</v>
      </c>
      <c r="D6" s="20">
        <f>'Atividade-Trimestral 3'!G7</f>
        <v>6.6875</v>
      </c>
      <c r="E6" s="21">
        <f>'Atividade-Trimestral 2'!F7+'Atividade-Trimestral 1'!F7+'Atividade-Trimestral 3'!F7</f>
        <v>11</v>
      </c>
      <c r="F6" s="19">
        <f t="shared" si="0"/>
        <v>6.875</v>
      </c>
    </row>
    <row r="7" spans="1:6" x14ac:dyDescent="0.25">
      <c r="A7" t="s">
        <v>13</v>
      </c>
      <c r="B7" s="20">
        <f>'Atividade-Trimestral 1'!G8</f>
        <v>6.8125</v>
      </c>
      <c r="C7" s="20">
        <f>'Atividade-Trimestral 2'!G8</f>
        <v>7.0625</v>
      </c>
      <c r="D7" s="20">
        <f>'Atividade-Trimestral 3'!G8</f>
        <v>6.8125</v>
      </c>
      <c r="E7" s="21">
        <f>'Atividade-Trimestral 2'!F8+'Atividade-Trimestral 1'!F8+'Atividade-Trimestral 3'!F8</f>
        <v>2</v>
      </c>
      <c r="F7" s="19">
        <f t="shared" si="0"/>
        <v>6.895833333333333</v>
      </c>
    </row>
    <row r="8" spans="1:6" x14ac:dyDescent="0.25">
      <c r="A8" t="s">
        <v>14</v>
      </c>
      <c r="B8" s="20">
        <f>'Atividade-Trimestral 1'!G9</f>
        <v>7.9375</v>
      </c>
      <c r="C8" s="20">
        <f>'Atividade-Trimestral 2'!G9</f>
        <v>7.0625</v>
      </c>
      <c r="D8" s="20">
        <f>'Atividade-Trimestral 3'!G9</f>
        <v>7.9375</v>
      </c>
      <c r="E8" s="21">
        <f>'Atividade-Trimestral 2'!F9+'Atividade-Trimestral 1'!F9+'Atividade-Trimestral 3'!F9</f>
        <v>2</v>
      </c>
      <c r="F8" s="19">
        <f t="shared" si="0"/>
        <v>7.645833333333333</v>
      </c>
    </row>
    <row r="9" spans="1:6" x14ac:dyDescent="0.25">
      <c r="A9" t="s">
        <v>15</v>
      </c>
      <c r="B9" s="20">
        <f>'Atividade-Trimestral 1'!G10</f>
        <v>9.0625</v>
      </c>
      <c r="C9" s="20">
        <f>'Atividade-Trimestral 2'!G10</f>
        <v>7.5</v>
      </c>
      <c r="D9" s="20">
        <f>'Atividade-Trimestral 3'!G10</f>
        <v>9.0625</v>
      </c>
      <c r="E9" s="21">
        <f>'Atividade-Trimestral 2'!F10+'Atividade-Trimestral 1'!F10+'Atividade-Trimestral 3'!F10</f>
        <v>5</v>
      </c>
      <c r="F9" s="19">
        <f t="shared" si="0"/>
        <v>8.5416666666666661</v>
      </c>
    </row>
    <row r="10" spans="1:6" x14ac:dyDescent="0.25">
      <c r="A10" t="s">
        <v>16</v>
      </c>
      <c r="B10" s="20">
        <f>'Atividade-Trimestral 1'!G11</f>
        <v>8.375</v>
      </c>
      <c r="C10" s="20">
        <f>'Atividade-Trimestral 2'!G11</f>
        <v>7.25</v>
      </c>
      <c r="D10" s="20">
        <f>'Atividade-Trimestral 3'!G11</f>
        <v>9</v>
      </c>
      <c r="E10" s="21">
        <f>'Atividade-Trimestral 2'!F11+'Atividade-Trimestral 1'!F11+'Atividade-Trimestral 3'!F11</f>
        <v>0</v>
      </c>
      <c r="F10" s="19">
        <f t="shared" si="0"/>
        <v>8.2083333333333339</v>
      </c>
    </row>
    <row r="11" spans="1:6" x14ac:dyDescent="0.25">
      <c r="A11" t="s">
        <v>17</v>
      </c>
      <c r="B11" s="20">
        <f>'Atividade-Trimestral 1'!G12</f>
        <v>7.8125</v>
      </c>
      <c r="C11" s="20">
        <f>'Atividade-Trimestral 2'!G12</f>
        <v>7.875</v>
      </c>
      <c r="D11" s="20">
        <f>'Atividade-Trimestral 3'!G12</f>
        <v>7.8125</v>
      </c>
      <c r="E11" s="21">
        <f>'Atividade-Trimestral 2'!F12+'Atividade-Trimestral 1'!F12+'Atividade-Trimestral 3'!F12</f>
        <v>4</v>
      </c>
      <c r="F11" s="19">
        <f t="shared" si="0"/>
        <v>7.833333333333333</v>
      </c>
    </row>
    <row r="12" spans="1:6" x14ac:dyDescent="0.25">
      <c r="A12" t="s">
        <v>18</v>
      </c>
      <c r="B12" s="20">
        <f>'Atividade-Trimestral 1'!G13</f>
        <v>8.6875</v>
      </c>
      <c r="C12" s="20">
        <f>'Atividade-Trimestral 2'!G13</f>
        <v>7.625</v>
      </c>
      <c r="D12" s="20">
        <f>'Atividade-Trimestral 3'!G13</f>
        <v>8.6875</v>
      </c>
      <c r="E12" s="21">
        <f>'Atividade-Trimestral 2'!F13+'Atividade-Trimestral 1'!F13+'Atividade-Trimestral 3'!F13</f>
        <v>0</v>
      </c>
      <c r="F12" s="19">
        <f t="shared" si="0"/>
        <v>8.3333333333333339</v>
      </c>
    </row>
    <row r="13" spans="1:6" x14ac:dyDescent="0.25">
      <c r="A13" s="15"/>
      <c r="B13" s="15"/>
      <c r="C13" s="15"/>
      <c r="D13" s="10" t="s">
        <v>19</v>
      </c>
      <c r="E13" s="15"/>
      <c r="F13" s="15"/>
    </row>
  </sheetData>
  <mergeCells count="2">
    <mergeCell ref="A1:F1"/>
    <mergeCell ref="B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Atividade-Trimestral 1</vt:lpstr>
      <vt:lpstr>Atividade-Trimestral 2</vt:lpstr>
      <vt:lpstr>Atividade-Trimestral 3</vt:lpstr>
      <vt:lpstr>Avaliação 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2026-03-25T16:11:31Z</dcterms:created>
  <dcterms:modified xsi:type="dcterms:W3CDTF">2026-03-25T17:03:42Z</dcterms:modified>
</cp:coreProperties>
</file>