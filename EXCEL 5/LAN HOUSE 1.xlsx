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GitHub\Ezequiel\EXCEL 5\"/>
    </mc:Choice>
  </mc:AlternateContent>
  <xr:revisionPtr revIDLastSave="0" documentId="8_{E9EE5A0B-C8DC-4497-AB03-8737D6A82E12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Plan1" sheetId="1" r:id="rId1"/>
    <sheet name="Plan2" sheetId="2" r:id="rId2"/>
    <sheet name="Plan3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5" i="1"/>
  <c r="H5" i="1"/>
  <c r="H6" i="1"/>
  <c r="H7" i="1"/>
  <c r="H8" i="1"/>
  <c r="H9" i="1"/>
  <c r="H10" i="1"/>
  <c r="H11" i="1"/>
  <c r="G6" i="1"/>
  <c r="G7" i="1"/>
  <c r="G8" i="1"/>
  <c r="G9" i="1"/>
  <c r="G10" i="1"/>
  <c r="G11" i="1"/>
  <c r="G5" i="1"/>
  <c r="F6" i="1"/>
  <c r="F7" i="1"/>
  <c r="F8" i="1"/>
  <c r="F9" i="1"/>
  <c r="F10" i="1"/>
  <c r="F11" i="1"/>
  <c r="F5" i="1"/>
  <c r="E6" i="1"/>
  <c r="E7" i="1"/>
  <c r="E8" i="1"/>
  <c r="E9" i="1"/>
  <c r="E10" i="1"/>
  <c r="E11" i="1"/>
  <c r="E5" i="1"/>
  <c r="D6" i="1"/>
  <c r="D7" i="1"/>
  <c r="D8" i="1"/>
  <c r="D9" i="1"/>
  <c r="D10" i="1"/>
  <c r="D11" i="1"/>
  <c r="D5" i="1"/>
</calcChain>
</file>

<file path=xl/sharedStrings.xml><?xml version="1.0" encoding="utf-8"?>
<sst xmlns="http://schemas.openxmlformats.org/spreadsheetml/2006/main" count="18" uniqueCount="18">
  <si>
    <t>HORA INICIAL</t>
  </si>
  <si>
    <t>HORA FINAL</t>
  </si>
  <si>
    <t>TEMPO TOTAL</t>
  </si>
  <si>
    <t>NÚMERO DE HORAS</t>
  </si>
  <si>
    <t>NÚMERO DE MINUTOS</t>
  </si>
  <si>
    <t>VALOR A PAGAR</t>
  </si>
  <si>
    <t>USUÁRIO</t>
  </si>
  <si>
    <t>VALOR HORA:</t>
  </si>
  <si>
    <t>Alexandre</t>
  </si>
  <si>
    <t>TEMPO TOTAL (MINUTOS)</t>
  </si>
  <si>
    <t>Karina</t>
  </si>
  <si>
    <t>Monica</t>
  </si>
  <si>
    <t>Manolo</t>
  </si>
  <si>
    <t>Simone</t>
  </si>
  <si>
    <t>Yvone</t>
  </si>
  <si>
    <t>Rogerio</t>
  </si>
  <si>
    <t>VALOR DO MINUTO</t>
  </si>
  <si>
    <t>NETHOUSE - COMPUTADOR 23 - 03/06/2013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</si>
</sst>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0" fontId="0" fillId="0" borderId="1" xfId="0" applyBorder="1"/>
    <xf numFmtId="20" fontId="0" fillId="0" borderId="1" xfId="0" applyNumberFormat="1" applyBorder="1"/>
    <xf numFmtId="0" fontId="3" fillId="0" borderId="0" xfId="0" applyFont="1"/>
    <xf numFmtId="20" fontId="4" fillId="0" borderId="1" xfId="0" applyNumberFormat="1" applyFont="1" applyBorder="1"/>
    <xf numFmtId="0" fontId="2" fillId="0" borderId="0" xfId="0" applyFont="1"/>
    <xf numFmtId="8" fontId="2" fillId="0" borderId="0" xfId="0" applyNumberFormat="1" applyFont="1"/>
    <xf numFmtId="14" fontId="0" fillId="0" borderId="0" xfId="0" applyNumberFormat="1" applyAlignment="1">
      <alignment horizontal="center"/>
    </xf>
    <xf numFmtId="44" fontId="0" fillId="0" borderId="0" xfId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4" fontId="2" fillId="0" borderId="1" xfId="1" applyFont="1" applyFill="1" applyBorder="1" applyAlignment="1">
      <alignment horizontal="center" vertical="center" wrapText="1"/>
    </xf>
    <xf numFmtId="8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44" fontId="5" fillId="0" borderId="1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510540</xdr:colOff>
      <xdr:row>0</xdr:row>
      <xdr:rowOff>0</xdr:rowOff>
    </xdr:from>
    <xdr:to>
      <xdr:col>18</xdr:col>
      <xdr:colOff>46938</xdr:colOff>
      <xdr:row>8</xdr:row>
      <xdr:rowOff>80904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88E982-EF77-45C9-9BFE-CE8B3A8E2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1020" y="0"/>
          <a:ext cx="5022798" cy="1810644"/>
        </a:xfrm>
        <a:prstGeom prst="rect">
          <a:avLst/>
        </a:prstGeom>
      </xdr:spPr>
    </xdr:pic>
    <xdr:clientData/>
  </xdr:twoCellAnchor>
  <xdr:twoCellAnchor editAs="oneCell">
    <xdr:from>
      <xdr:col>9</xdr:col>
      <xdr:colOff>480060</xdr:colOff>
      <xdr:row>7</xdr:row>
      <xdr:rowOff>123344</xdr:rowOff>
    </xdr:from>
    <xdr:to>
      <xdr:col>17</xdr:col>
      <xdr:colOff>591742</xdr:colOff>
      <xdr:row>28</xdr:row>
      <xdr:rowOff>113751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1D6867-2657-4D04-9F9C-4FD2AD00C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30540" y="1670204"/>
          <a:ext cx="4988482" cy="38308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G20" sqref="G20"/>
    </sheetView>
  </sheetViews>
  <sheetFormatPr defaultRowHeight="15" x14ac:dyDescent="0.25"/>
  <cols>
    <col min="1" max="1" width="17" customWidth="1"/>
    <col min="2" max="2" width="10.5703125" customWidth="1"/>
    <col min="3" max="3" width="9.140625" customWidth="1"/>
    <col min="5" max="5" width="10.7109375" style="1" bestFit="1" customWidth="1"/>
    <col min="6" max="6" width="12.85546875" style="1" customWidth="1"/>
    <col min="7" max="8" width="14.85546875" style="1" customWidth="1"/>
    <col min="9" max="9" width="12.7109375" style="2" customWidth="1"/>
  </cols>
  <sheetData>
    <row r="1" spans="1:10" ht="21" x14ac:dyDescent="0.35">
      <c r="A1" s="14" t="s">
        <v>17</v>
      </c>
      <c r="B1" s="14"/>
      <c r="C1" s="14"/>
      <c r="D1" s="14"/>
      <c r="E1" s="14"/>
      <c r="F1" s="14"/>
      <c r="G1" s="14"/>
      <c r="H1" s="14"/>
      <c r="I1" s="14"/>
      <c r="J1" s="5"/>
    </row>
    <row r="2" spans="1:10" x14ac:dyDescent="0.25">
      <c r="A2" s="7" t="s">
        <v>7</v>
      </c>
      <c r="B2" s="8">
        <v>10</v>
      </c>
      <c r="E2" s="9"/>
      <c r="I2" s="10"/>
    </row>
    <row r="4" spans="1:10" ht="30" x14ac:dyDescent="0.25">
      <c r="A4" s="11" t="s">
        <v>6</v>
      </c>
      <c r="B4" s="11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9</v>
      </c>
      <c r="H4" s="11" t="s">
        <v>16</v>
      </c>
      <c r="I4" s="12" t="s">
        <v>5</v>
      </c>
    </row>
    <row r="5" spans="1:10" x14ac:dyDescent="0.25">
      <c r="A5" s="3" t="s">
        <v>8</v>
      </c>
      <c r="B5" s="4">
        <v>0.375</v>
      </c>
      <c r="C5" s="4">
        <v>0.4201388888888889</v>
      </c>
      <c r="D5" s="6">
        <f>C5-B5</f>
        <v>4.5138888888888895E-2</v>
      </c>
      <c r="E5" s="15">
        <f>HOUR(D5)</f>
        <v>1</v>
      </c>
      <c r="F5" s="15">
        <f>MINUTE(D5)</f>
        <v>5</v>
      </c>
      <c r="G5" s="15">
        <f>CONVERT(E5,"hr","mn")+F5</f>
        <v>65</v>
      </c>
      <c r="H5" s="16">
        <f>IF(HOUR(B5)&lt;=11,(B$2*80%)/60,B$2/60)</f>
        <v>0.13333333333333333</v>
      </c>
      <c r="I5" s="17">
        <f>H5*G5</f>
        <v>8.6666666666666661</v>
      </c>
    </row>
    <row r="6" spans="1:10" x14ac:dyDescent="0.25">
      <c r="A6" s="3" t="s">
        <v>10</v>
      </c>
      <c r="B6" s="4">
        <v>0.42152777777777778</v>
      </c>
      <c r="C6" s="4">
        <v>0.44930555555555557</v>
      </c>
      <c r="D6" s="6">
        <f t="shared" ref="D6:D11" si="0">C6-B6</f>
        <v>2.777777777777779E-2</v>
      </c>
      <c r="E6" s="15">
        <f t="shared" ref="E6:E11" si="1">HOUR(D6)</f>
        <v>0</v>
      </c>
      <c r="F6" s="15">
        <f t="shared" ref="F6:F11" si="2">MINUTE(D6)</f>
        <v>40</v>
      </c>
      <c r="G6" s="15">
        <f t="shared" ref="G6:G11" si="3">CONVERT(E6,"hr","mn")+F6</f>
        <v>40</v>
      </c>
      <c r="H6" s="16">
        <f t="shared" ref="H6:H11" si="4">IF(HOUR(B6)&lt;=11,(B$2*80%)/60,B$2/60)</f>
        <v>0.13333333333333333</v>
      </c>
      <c r="I6" s="17">
        <f t="shared" ref="I6:I11" si="5">H6*G6</f>
        <v>5.333333333333333</v>
      </c>
    </row>
    <row r="7" spans="1:10" x14ac:dyDescent="0.25">
      <c r="A7" s="3" t="s">
        <v>11</v>
      </c>
      <c r="B7" s="4">
        <v>0.4513888888888889</v>
      </c>
      <c r="C7" s="4">
        <v>0.47916666666666669</v>
      </c>
      <c r="D7" s="6">
        <f t="shared" si="0"/>
        <v>2.777777777777779E-2</v>
      </c>
      <c r="E7" s="15">
        <f t="shared" si="1"/>
        <v>0</v>
      </c>
      <c r="F7" s="15">
        <f t="shared" si="2"/>
        <v>40</v>
      </c>
      <c r="G7" s="15">
        <f t="shared" si="3"/>
        <v>40</v>
      </c>
      <c r="H7" s="16">
        <f t="shared" si="4"/>
        <v>0.13333333333333333</v>
      </c>
      <c r="I7" s="17">
        <f t="shared" si="5"/>
        <v>5.333333333333333</v>
      </c>
    </row>
    <row r="8" spans="1:10" x14ac:dyDescent="0.25">
      <c r="A8" s="3" t="s">
        <v>12</v>
      </c>
      <c r="B8" s="4">
        <v>0.47986111111111113</v>
      </c>
      <c r="C8" s="4">
        <v>0.50347222222222221</v>
      </c>
      <c r="D8" s="6">
        <f t="shared" si="0"/>
        <v>2.3611111111111083E-2</v>
      </c>
      <c r="E8" s="15">
        <f t="shared" si="1"/>
        <v>0</v>
      </c>
      <c r="F8" s="15">
        <f t="shared" si="2"/>
        <v>34</v>
      </c>
      <c r="G8" s="15">
        <f t="shared" si="3"/>
        <v>34</v>
      </c>
      <c r="H8" s="16">
        <f t="shared" si="4"/>
        <v>0.13333333333333333</v>
      </c>
      <c r="I8" s="17">
        <f t="shared" si="5"/>
        <v>4.5333333333333332</v>
      </c>
    </row>
    <row r="9" spans="1:10" x14ac:dyDescent="0.25">
      <c r="A9" s="3" t="s">
        <v>13</v>
      </c>
      <c r="B9" s="4">
        <v>0.50486111111111109</v>
      </c>
      <c r="C9" s="4">
        <v>0.57291666666666663</v>
      </c>
      <c r="D9" s="6">
        <f t="shared" si="0"/>
        <v>6.8055555555555536E-2</v>
      </c>
      <c r="E9" s="15">
        <f t="shared" si="1"/>
        <v>1</v>
      </c>
      <c r="F9" s="15">
        <f t="shared" si="2"/>
        <v>38</v>
      </c>
      <c r="G9" s="15">
        <f t="shared" si="3"/>
        <v>98</v>
      </c>
      <c r="H9" s="16">
        <f t="shared" si="4"/>
        <v>0.16666666666666666</v>
      </c>
      <c r="I9" s="17">
        <f t="shared" si="5"/>
        <v>16.333333333333332</v>
      </c>
    </row>
    <row r="10" spans="1:10" x14ac:dyDescent="0.25">
      <c r="A10" s="3" t="s">
        <v>14</v>
      </c>
      <c r="B10" s="4">
        <v>0.57361111111111118</v>
      </c>
      <c r="C10" s="4">
        <v>0.6875</v>
      </c>
      <c r="D10" s="6">
        <f t="shared" si="0"/>
        <v>0.11388888888888882</v>
      </c>
      <c r="E10" s="15">
        <f t="shared" si="1"/>
        <v>2</v>
      </c>
      <c r="F10" s="15">
        <f t="shared" si="2"/>
        <v>44</v>
      </c>
      <c r="G10" s="15">
        <f t="shared" si="3"/>
        <v>164</v>
      </c>
      <c r="H10" s="16">
        <f t="shared" si="4"/>
        <v>0.16666666666666666</v>
      </c>
      <c r="I10" s="17">
        <f t="shared" si="5"/>
        <v>27.333333333333332</v>
      </c>
    </row>
    <row r="11" spans="1:10" x14ac:dyDescent="0.25">
      <c r="A11" s="3" t="s">
        <v>15</v>
      </c>
      <c r="B11" s="4">
        <v>0.69791666666666663</v>
      </c>
      <c r="C11" s="4">
        <v>0.75</v>
      </c>
      <c r="D11" s="6">
        <f t="shared" si="0"/>
        <v>5.208333333333337E-2</v>
      </c>
      <c r="E11" s="15">
        <f t="shared" si="1"/>
        <v>1</v>
      </c>
      <c r="F11" s="15">
        <f t="shared" si="2"/>
        <v>15</v>
      </c>
      <c r="G11" s="15">
        <f t="shared" si="3"/>
        <v>75</v>
      </c>
      <c r="H11" s="16">
        <f t="shared" si="4"/>
        <v>0.16666666666666666</v>
      </c>
      <c r="I11" s="17">
        <f t="shared" si="5"/>
        <v>12.5</v>
      </c>
    </row>
    <row r="14" spans="1:10" x14ac:dyDescent="0.25">
      <c r="H14" s="13"/>
    </row>
    <row r="15" spans="1:10" x14ac:dyDescent="0.25">
      <c r="H15" s="13"/>
    </row>
    <row r="16" spans="1:10" x14ac:dyDescent="0.25">
      <c r="H16" s="13"/>
    </row>
    <row r="17" spans="8:8" x14ac:dyDescent="0.25">
      <c r="H17" s="13"/>
    </row>
  </sheetData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Luan Miguel Santos Pulzi</cp:lastModifiedBy>
  <dcterms:created xsi:type="dcterms:W3CDTF">2011-06-24T18:10:58Z</dcterms:created>
  <dcterms:modified xsi:type="dcterms:W3CDTF">2026-03-30T16:56:08Z</dcterms:modified>
</cp:coreProperties>
</file>