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zequiel\Excel 6\"/>
    </mc:Choice>
  </mc:AlternateContent>
  <xr:revisionPtr revIDLastSave="0" documentId="8_{39E376E7-835A-44A0-BEB2-FC030EB4BB2A}" xr6:coauthVersionLast="47" xr6:coauthVersionMax="47" xr10:uidLastSave="{00000000-0000-0000-0000-000000000000}"/>
  <bookViews>
    <workbookView xWindow="-105" yWindow="0" windowWidth="14610" windowHeight="16305" tabRatio="879" xr2:uid="{00000000-000D-0000-FFFF-FFFF00000000}"/>
  </bookViews>
  <sheets>
    <sheet name="VENDAS" sheetId="4" r:id="rId1"/>
    <sheet name="RELATÓRIO" sheetId="5" r:id="rId2"/>
    <sheet name="MÁXIMO e MÍNIMO" sheetId="6" r:id="rId3"/>
    <sheet name="MÉDIA E ORDEM.EQ" sheetId="8" r:id="rId4"/>
    <sheet name="CONT.VALORES E CONTAR VAZIO" sheetId="9" r:id="rId5"/>
    <sheet name="CONT.NÚM E CONT.SES" sheetId="10" r:id="rId6"/>
    <sheet name="MÉDIASE" sheetId="11" r:id="rId7"/>
    <sheet name="SE" sheetId="12" r:id="rId8"/>
    <sheet name="OU" sheetId="14" r:id="rId9"/>
    <sheet name="SEERRO" sheetId="13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3" i="4"/>
  <c r="D17" i="4"/>
  <c r="E15" i="5" s="1"/>
  <c r="E16" i="5"/>
  <c r="E10" i="5"/>
  <c r="E9" i="5"/>
  <c r="E14" i="5"/>
  <c r="E11" i="5"/>
  <c r="E8" i="5"/>
  <c r="E5" i="5"/>
  <c r="E4" i="5"/>
  <c r="E3" i="5"/>
  <c r="E2" i="5"/>
  <c r="B9" i="5"/>
  <c r="B8" i="5"/>
  <c r="B7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8" i="4"/>
  <c r="D19" i="4"/>
  <c r="D20" i="4"/>
  <c r="D21" i="4"/>
  <c r="D22" i="4"/>
  <c r="D3" i="4"/>
  <c r="B4" i="5"/>
  <c r="B3" i="5"/>
  <c r="B2" i="5"/>
  <c r="B10" i="5" l="1"/>
  <c r="E17" i="5"/>
</calcChain>
</file>

<file path=xl/sharedStrings.xml><?xml version="1.0" encoding="utf-8"?>
<sst xmlns="http://schemas.openxmlformats.org/spreadsheetml/2006/main" count="73" uniqueCount="45">
  <si>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</si>
  <si>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</si>
  <si>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</si>
  <si>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</si>
  <si>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</si>
  <si>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</si>
  <si>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</si>
  <si>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</si>
  <si>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</si>
  <si>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</si>
  <si>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</si>
  <si>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</si>
  <si>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</si>
  <si>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</si>
  <si>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</si>
  <si>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</si>
  <si>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</si>
  <si>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</si>
  <si>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</si>
  <si>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</si>
  <si>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</si>
  <si>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</si>
  <si>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</si>
  <si>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</si>
  <si>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</si>
  <si>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</si>
  <si>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</si>
  <si>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</si>
  <si>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</si>
  <si>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</si>
  <si>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</si>
  <si>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</si>
  <si>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</si>
  <si>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</si>
  <si>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>Total Vendedores</t>
  </si>
  <si>
    <t xml:space="preserve">Menor </t>
  </si>
  <si>
    <t>Ganhadores</t>
  </si>
  <si>
    <t>Média</t>
  </si>
  <si>
    <t>Média de Vendas Total</t>
  </si>
  <si>
    <t>Média de Vendas dos Não Ganhadores</t>
  </si>
  <si>
    <t>NÚMERO DE VENDEDORES</t>
  </si>
  <si>
    <t>Total</t>
  </si>
  <si>
    <t>Não efetuaram vendas</t>
  </si>
  <si>
    <t>Efetuaram vendas</t>
  </si>
  <si>
    <t>Ganhadores do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</si>
</sst>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&quot;R$&quot;\ #,##0.00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theme="5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1" applyFont="1"/>
    <xf numFmtId="0" fontId="6" fillId="0" borderId="0" xfId="0" applyFont="1"/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right"/>
    </xf>
    <xf numFmtId="0" fontId="7" fillId="0" borderId="0" xfId="0" applyFont="1"/>
    <xf numFmtId="164" fontId="8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4" borderId="0" xfId="0" applyFont="1" applyFill="1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/>
    <xf numFmtId="164" fontId="9" fillId="0" borderId="1" xfId="1" applyFont="1" applyBorder="1"/>
    <xf numFmtId="164" fontId="10" fillId="0" borderId="1" xfId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259080</xdr:colOff>
      <xdr:row>0</xdr:row>
      <xdr:rowOff>140114</xdr:rowOff>
    </xdr:from>
    <xdr:to>
      <xdr:col>16</xdr:col>
      <xdr:colOff>153547</xdr:colOff>
      <xdr:row>11</xdr:row>
      <xdr:rowOff>83509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019030-2D3D-452F-8C50-75183206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140114"/>
          <a:ext cx="5518027" cy="2252255"/>
        </a:xfrm>
        <a:prstGeom prst="rect">
          <a:avLst/>
        </a:prstGeom>
      </xdr:spPr>
    </xdr:pic>
    <xdr:clientData/>
  </xdr:twoCellAnchor>
  <xdr:twoCellAnchor editAs="oneCell">
    <xdr:from>
      <xdr:col>7</xdr:col>
      <xdr:colOff>212892</xdr:colOff>
      <xdr:row>11</xdr:row>
      <xdr:rowOff>66342</xdr:rowOff>
    </xdr:from>
    <xdr:to>
      <xdr:col>16</xdr:col>
      <xdr:colOff>332585</xdr:colOff>
      <xdr:row>34</xdr:row>
      <xdr:rowOff>60383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D13CFF-D869-4528-BD69-6796729F5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6712" y="2375202"/>
          <a:ext cx="5743253" cy="419266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33</xdr:row>
      <xdr:rowOff>175260</xdr:rowOff>
    </xdr:from>
    <xdr:to>
      <xdr:col>4</xdr:col>
      <xdr:colOff>619424</xdr:colOff>
      <xdr:row>52</xdr:row>
      <xdr:rowOff>24349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3A98777-F3FD-4991-95CC-A62FBBEB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6499860"/>
          <a:ext cx="6076190" cy="33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34</xdr:row>
      <xdr:rowOff>22860</xdr:rowOff>
    </xdr:from>
    <xdr:to>
      <xdr:col>12</xdr:col>
      <xdr:colOff>172651</xdr:colOff>
      <xdr:row>51</xdr:row>
      <xdr:rowOff>151995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7693F1F-7F02-43E2-9C24-80D3FF63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5060" y="6530340"/>
          <a:ext cx="5628571" cy="3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85029</xdr:colOff>
      <xdr:row>12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9A460-40C2-4CBB-9D46-BF2E1E576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71429" cy="2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151390</xdr:colOff>
      <xdr:row>23</xdr:row>
      <xdr:rowOff>138859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7221DF-4892-4B6C-A325-8E02AC70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960"/>
          <a:ext cx="8076190" cy="16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94248</xdr:colOff>
      <xdr:row>9</xdr:row>
      <xdr:rowOff>110288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4AE0EA-3C3D-4685-8B8E-84F45636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19048" cy="1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256152</xdr:colOff>
      <xdr:row>29</xdr:row>
      <xdr:rowOff>39623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C00606-6356-40D5-A771-6FEA45A9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180952" cy="30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351390</xdr:colOff>
      <xdr:row>11</xdr:row>
      <xdr:rowOff>13103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DB18A0-4D9A-4587-AFF2-E3FE62CC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76190" cy="1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13</xdr:col>
      <xdr:colOff>265676</xdr:colOff>
      <xdr:row>22</xdr:row>
      <xdr:rowOff>28362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C367CF-66ED-416D-A90E-02A22C5B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8190476" cy="17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227581</xdr:colOff>
      <xdr:row>10</xdr:row>
      <xdr:rowOff>18838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6B90CE-25A0-419B-9CF7-E65D00D30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52381" cy="1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103771</xdr:colOff>
      <xdr:row>30</xdr:row>
      <xdr:rowOff>5316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F71302-DD67-4323-8BF9-DBE6B4EAC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028571" cy="31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256152</xdr:colOff>
      <xdr:row>15</xdr:row>
      <xdr:rowOff>66352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A516D5-85B8-46E8-B241-AC0490FE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80952" cy="2580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361143</xdr:colOff>
      <xdr:row>24</xdr:row>
      <xdr:rowOff>138545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5891FD-527B-4B76-AE0B-4275797A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7143" cy="41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281940</xdr:colOff>
      <xdr:row>0</xdr:row>
      <xdr:rowOff>0</xdr:rowOff>
    </xdr:from>
    <xdr:to>
      <xdr:col>18</xdr:col>
      <xdr:colOff>252683</xdr:colOff>
      <xdr:row>17</xdr:row>
      <xdr:rowOff>73929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53E418-8941-4D6F-BAB0-DC92A56A7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8340" y="0"/>
          <a:ext cx="5457143" cy="2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60960</xdr:rowOff>
    </xdr:from>
    <xdr:to>
      <xdr:col>9</xdr:col>
      <xdr:colOff>85029</xdr:colOff>
      <xdr:row>15</xdr:row>
      <xdr:rowOff>89217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B4FAFB7-3E61-47D8-A7C8-81855C568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60"/>
          <a:ext cx="5571429" cy="2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38100</xdr:rowOff>
    </xdr:from>
    <xdr:to>
      <xdr:col>9</xdr:col>
      <xdr:colOff>75505</xdr:colOff>
      <xdr:row>19</xdr:row>
      <xdr:rowOff>53254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80D68A-DD75-46AC-AFE2-85F50614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52700"/>
          <a:ext cx="5561905" cy="6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494552</xdr:colOff>
      <xdr:row>21</xdr:row>
      <xdr:rowOff>79560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6D6564-D2CF-452E-9BB1-41308672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80952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zoomScale="90" zoomScaleNormal="90" workbookViewId="0">
      <selection activeCell="F31" sqref="F31"/>
    </sheetView>
  </sheetViews>
  <sheetFormatPr defaultColWidth="9.140625" defaultRowHeight="12.75" x14ac:dyDescent="0.2"/>
  <cols>
    <col min="1" max="1" width="24.28515625" style="3" bestFit="1" customWidth="1"/>
    <col min="2" max="2" width="19" style="3" customWidth="1"/>
    <col min="3" max="3" width="18.140625" style="3" customWidth="1"/>
    <col min="4" max="4" width="18.7109375" style="2" customWidth="1"/>
    <col min="5" max="5" width="13.7109375" style="3" customWidth="1"/>
    <col min="6" max="6" width="16.7109375" style="3" customWidth="1"/>
    <col min="7" max="7" width="19" style="3" customWidth="1"/>
    <col min="8" max="16384" width="9.140625" style="3"/>
  </cols>
  <sheetData>
    <row r="1" spans="1:7" ht="23.25" x14ac:dyDescent="0.35">
      <c r="A1" s="12" t="s">
        <v>0</v>
      </c>
      <c r="B1" s="13">
        <v>50000</v>
      </c>
      <c r="C1" s="12" t="s">
        <v>1</v>
      </c>
      <c r="D1" s="13">
        <v>130000</v>
      </c>
      <c r="E1" s="16"/>
      <c r="F1" s="16"/>
      <c r="G1" s="16"/>
    </row>
    <row r="2" spans="1:7" ht="30" x14ac:dyDescent="0.2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</row>
    <row r="3" spans="1:7" ht="15" x14ac:dyDescent="0.25">
      <c r="A3" s="1" t="s">
        <v>9</v>
      </c>
      <c r="B3" s="10" t="s">
        <v>10</v>
      </c>
      <c r="C3" s="11">
        <v>100000</v>
      </c>
      <c r="D3" s="17">
        <f>_xlfn.RANK.EQ(C3,C$3:C$22)</f>
        <v>12</v>
      </c>
      <c r="E3" s="20">
        <f>IF(D3=1,B$1/RELATÓRIO!B$10,0)</f>
        <v>0</v>
      </c>
      <c r="F3" s="22" t="str">
        <f>IF(D3=1,"EXCELENTE",IF(C3&gt;D$1,"ÓTIMO",IF(C3=D1,"BOM","PODE MELHORAR")))</f>
        <v>PODE MELHORAR</v>
      </c>
      <c r="G3" s="21" t="str">
        <f>IF(F3="ÓTIMO","Viagem para Natal",IF(AND(C3&lt;=D$1,C3&gt;=100000),"Computador",""))</f>
        <v>Computador</v>
      </c>
    </row>
    <row r="4" spans="1:7" ht="15" x14ac:dyDescent="0.25">
      <c r="A4" s="1" t="s">
        <v>11</v>
      </c>
      <c r="B4" s="10" t="s">
        <v>12</v>
      </c>
      <c r="C4" s="11">
        <v>134600</v>
      </c>
      <c r="D4" s="17">
        <f t="shared" ref="D4:D22" si="0">_xlfn.RANK.EQ(C4,C$3:C$22)</f>
        <v>6</v>
      </c>
      <c r="E4" s="20">
        <f>IF(D4=1,B$1/RELATÓRIO!B$10,0)</f>
        <v>0</v>
      </c>
      <c r="F4" s="22" t="str">
        <f t="shared" ref="F4:F22" si="1">IF(D4=1,"EXCELENTE",IF(C4&gt;D$1,"ÓTIMO",IF(C4=D2,"BOM","PODE MELHORAR")))</f>
        <v>ÓTIMO</v>
      </c>
      <c r="G4" s="21" t="str">
        <f t="shared" ref="G4:G22" si="2">IF(F4="ÓTIMO","Viagem para Natal",IF(AND(C4&lt;=D$1,C4&gt;=100000),"Computador",""))</f>
        <v>Viagem para Natal</v>
      </c>
    </row>
    <row r="5" spans="1:7" ht="15" x14ac:dyDescent="0.25">
      <c r="A5" s="1" t="s">
        <v>13</v>
      </c>
      <c r="B5" s="10" t="s">
        <v>14</v>
      </c>
      <c r="C5" s="11">
        <v>50000</v>
      </c>
      <c r="D5" s="17">
        <f t="shared" si="0"/>
        <v>17</v>
      </c>
      <c r="E5" s="20">
        <f>IF(D5=1,B$1/RELATÓRIO!B$10,0)</f>
        <v>0</v>
      </c>
      <c r="F5" s="22" t="str">
        <f t="shared" si="1"/>
        <v>PODE MELHORAR</v>
      </c>
      <c r="G5" s="21" t="str">
        <f t="shared" si="2"/>
        <v/>
      </c>
    </row>
    <row r="6" spans="1:7" ht="15" x14ac:dyDescent="0.25">
      <c r="A6" s="1" t="s">
        <v>15</v>
      </c>
      <c r="B6" s="10" t="s">
        <v>12</v>
      </c>
      <c r="C6" s="11">
        <v>130000</v>
      </c>
      <c r="D6" s="17">
        <f t="shared" si="0"/>
        <v>8</v>
      </c>
      <c r="E6" s="20">
        <f>IF(D6=1,B$1/RELATÓRIO!B$10,0)</f>
        <v>0</v>
      </c>
      <c r="F6" s="22" t="str">
        <f t="shared" si="1"/>
        <v>PODE MELHORAR</v>
      </c>
      <c r="G6" s="21" t="str">
        <f t="shared" si="2"/>
        <v>Computador</v>
      </c>
    </row>
    <row r="7" spans="1:7" ht="15" x14ac:dyDescent="0.25">
      <c r="A7" s="1" t="s">
        <v>16</v>
      </c>
      <c r="B7" s="10" t="s">
        <v>12</v>
      </c>
      <c r="C7" s="11">
        <v>90870</v>
      </c>
      <c r="D7" s="17">
        <f t="shared" si="0"/>
        <v>13</v>
      </c>
      <c r="E7" s="20">
        <f>IF(D7=1,B$1/RELATÓRIO!B$10,0)</f>
        <v>0</v>
      </c>
      <c r="F7" s="22" t="str">
        <f t="shared" si="1"/>
        <v>PODE MELHORAR</v>
      </c>
      <c r="G7" s="21" t="str">
        <f t="shared" si="2"/>
        <v/>
      </c>
    </row>
    <row r="8" spans="1:7" ht="15" x14ac:dyDescent="0.25">
      <c r="A8" s="1" t="s">
        <v>17</v>
      </c>
      <c r="B8" s="10" t="s">
        <v>10</v>
      </c>
      <c r="C8" s="11">
        <v>67800</v>
      </c>
      <c r="D8" s="17">
        <f t="shared" si="0"/>
        <v>16</v>
      </c>
      <c r="E8" s="20">
        <f>IF(D8=1,B$1/RELATÓRIO!B$10,0)</f>
        <v>0</v>
      </c>
      <c r="F8" s="22" t="str">
        <f t="shared" si="1"/>
        <v>PODE MELHORAR</v>
      </c>
      <c r="G8" s="21" t="str">
        <f t="shared" si="2"/>
        <v/>
      </c>
    </row>
    <row r="9" spans="1:7" ht="15" x14ac:dyDescent="0.25">
      <c r="A9" s="1" t="s">
        <v>18</v>
      </c>
      <c r="B9" s="10" t="s">
        <v>10</v>
      </c>
      <c r="C9" s="11">
        <v>45000</v>
      </c>
      <c r="D9" s="17">
        <f t="shared" si="0"/>
        <v>18</v>
      </c>
      <c r="E9" s="20">
        <f>IF(D9=1,B$1/RELATÓRIO!B$10,0)</f>
        <v>0</v>
      </c>
      <c r="F9" s="22" t="str">
        <f t="shared" si="1"/>
        <v>PODE MELHORAR</v>
      </c>
      <c r="G9" s="21" t="str">
        <f t="shared" si="2"/>
        <v/>
      </c>
    </row>
    <row r="10" spans="1:7" ht="15" x14ac:dyDescent="0.25">
      <c r="A10" s="1" t="s">
        <v>19</v>
      </c>
      <c r="B10" s="10" t="s">
        <v>10</v>
      </c>
      <c r="C10" s="11">
        <v>137000</v>
      </c>
      <c r="D10" s="17">
        <f t="shared" si="0"/>
        <v>5</v>
      </c>
      <c r="E10" s="20">
        <f>IF(D10=1,B$1/RELATÓRIO!B$10,0)</f>
        <v>0</v>
      </c>
      <c r="F10" s="22" t="str">
        <f t="shared" si="1"/>
        <v>ÓTIMO</v>
      </c>
      <c r="G10" s="21" t="str">
        <f t="shared" si="2"/>
        <v>Viagem para Natal</v>
      </c>
    </row>
    <row r="11" spans="1:7" ht="15" x14ac:dyDescent="0.25">
      <c r="A11" s="1" t="s">
        <v>20</v>
      </c>
      <c r="B11" s="10" t="s">
        <v>14</v>
      </c>
      <c r="C11" s="11">
        <v>23000</v>
      </c>
      <c r="D11" s="17">
        <f t="shared" si="0"/>
        <v>19</v>
      </c>
      <c r="E11" s="20">
        <f>IF(D11=1,B$1/RELATÓRIO!B$10,0)</f>
        <v>0</v>
      </c>
      <c r="F11" s="22" t="str">
        <f t="shared" si="1"/>
        <v>PODE MELHORAR</v>
      </c>
      <c r="G11" s="21" t="str">
        <f t="shared" si="2"/>
        <v/>
      </c>
    </row>
    <row r="12" spans="1:7" ht="15" x14ac:dyDescent="0.25">
      <c r="A12" s="1" t="s">
        <v>21</v>
      </c>
      <c r="B12" s="10" t="s">
        <v>12</v>
      </c>
      <c r="C12" s="11">
        <v>149000</v>
      </c>
      <c r="D12" s="17">
        <f t="shared" si="0"/>
        <v>3</v>
      </c>
      <c r="E12" s="20">
        <f>IF(D12=1,B$1/RELATÓRIO!B$10,0)</f>
        <v>0</v>
      </c>
      <c r="F12" s="22" t="str">
        <f t="shared" si="1"/>
        <v>ÓTIMO</v>
      </c>
      <c r="G12" s="21" t="str">
        <f t="shared" si="2"/>
        <v>Viagem para Natal</v>
      </c>
    </row>
    <row r="13" spans="1:7" ht="15" x14ac:dyDescent="0.25">
      <c r="A13" s="1" t="s">
        <v>22</v>
      </c>
      <c r="B13" s="10" t="s">
        <v>14</v>
      </c>
      <c r="C13" s="11">
        <v>134000</v>
      </c>
      <c r="D13" s="17">
        <f t="shared" si="0"/>
        <v>7</v>
      </c>
      <c r="E13" s="20">
        <f>IF(D13=1,B$1/RELATÓRIO!B$10,0)</f>
        <v>0</v>
      </c>
      <c r="F13" s="22" t="str">
        <f t="shared" si="1"/>
        <v>ÓTIMO</v>
      </c>
      <c r="G13" s="21" t="str">
        <f t="shared" si="2"/>
        <v>Viagem para Natal</v>
      </c>
    </row>
    <row r="14" spans="1:7" ht="15" x14ac:dyDescent="0.25">
      <c r="A14" s="1" t="s">
        <v>23</v>
      </c>
      <c r="B14" s="10" t="s">
        <v>10</v>
      </c>
      <c r="C14" s="11">
        <v>123000</v>
      </c>
      <c r="D14" s="17">
        <f t="shared" si="0"/>
        <v>9</v>
      </c>
      <c r="E14" s="20">
        <f>IF(D14=1,B$1/RELATÓRIO!B$10,0)</f>
        <v>0</v>
      </c>
      <c r="F14" s="22" t="str">
        <f t="shared" si="1"/>
        <v>PODE MELHORAR</v>
      </c>
      <c r="G14" s="21" t="str">
        <f t="shared" si="2"/>
        <v>Computador</v>
      </c>
    </row>
    <row r="15" spans="1:7" ht="15" x14ac:dyDescent="0.25">
      <c r="A15" s="1" t="s">
        <v>24</v>
      </c>
      <c r="B15" s="10" t="s">
        <v>12</v>
      </c>
      <c r="C15" s="11">
        <v>150000</v>
      </c>
      <c r="D15" s="17">
        <f t="shared" si="0"/>
        <v>1</v>
      </c>
      <c r="E15" s="20">
        <f>IF(D15=1,B$1/RELATÓRIO!B$10,0)</f>
        <v>25000</v>
      </c>
      <c r="F15" s="22" t="str">
        <f t="shared" si="1"/>
        <v>EXCELENTE</v>
      </c>
      <c r="G15" s="21" t="str">
        <f t="shared" si="2"/>
        <v/>
      </c>
    </row>
    <row r="16" spans="1:7" ht="15" x14ac:dyDescent="0.25">
      <c r="A16" s="1" t="s">
        <v>25</v>
      </c>
      <c r="B16" s="10" t="s">
        <v>14</v>
      </c>
      <c r="C16" s="11">
        <v>150000</v>
      </c>
      <c r="D16" s="17">
        <f t="shared" si="0"/>
        <v>1</v>
      </c>
      <c r="E16" s="20">
        <f>IF(D16=1,B$1/RELATÓRIO!B$10,0)</f>
        <v>25000</v>
      </c>
      <c r="F16" s="22" t="str">
        <f t="shared" si="1"/>
        <v>EXCELENTE</v>
      </c>
      <c r="G16" s="21" t="str">
        <f t="shared" si="2"/>
        <v/>
      </c>
    </row>
    <row r="17" spans="1:7" ht="15" x14ac:dyDescent="0.25">
      <c r="A17" s="1" t="s">
        <v>26</v>
      </c>
      <c r="B17" s="10" t="s">
        <v>14</v>
      </c>
      <c r="C17" s="11"/>
      <c r="D17" s="17" t="str">
        <f>IFERROR(_xlfn.RANK.EQ(C17,C$3:C$22),"")</f>
        <v/>
      </c>
      <c r="E17" s="20">
        <f>IF(D17=1,B$1/RELATÓRIO!B$10,0)</f>
        <v>0</v>
      </c>
      <c r="F17" s="22" t="str">
        <f t="shared" si="1"/>
        <v>PODE MELHORAR</v>
      </c>
      <c r="G17" s="21" t="str">
        <f t="shared" si="2"/>
        <v/>
      </c>
    </row>
    <row r="18" spans="1:7" ht="15" x14ac:dyDescent="0.25">
      <c r="A18" s="1" t="s">
        <v>27</v>
      </c>
      <c r="B18" s="10" t="s">
        <v>10</v>
      </c>
      <c r="C18" s="11">
        <v>120000</v>
      </c>
      <c r="D18" s="17">
        <f t="shared" si="0"/>
        <v>11</v>
      </c>
      <c r="E18" s="20">
        <f>IF(D18=1,B$1/RELATÓRIO!B$10,0)</f>
        <v>0</v>
      </c>
      <c r="F18" s="22" t="str">
        <f t="shared" si="1"/>
        <v>PODE MELHORAR</v>
      </c>
      <c r="G18" s="21" t="str">
        <f t="shared" si="2"/>
        <v>Computador</v>
      </c>
    </row>
    <row r="19" spans="1:7" ht="15" x14ac:dyDescent="0.25">
      <c r="A19" s="1" t="s">
        <v>28</v>
      </c>
      <c r="B19" s="10" t="s">
        <v>12</v>
      </c>
      <c r="C19" s="11">
        <v>87900</v>
      </c>
      <c r="D19" s="17">
        <f t="shared" si="0"/>
        <v>14</v>
      </c>
      <c r="E19" s="20">
        <f>IF(D19=1,B$1/RELATÓRIO!B$10,0)</f>
        <v>0</v>
      </c>
      <c r="F19" s="22" t="str">
        <f t="shared" si="1"/>
        <v>PODE MELHORAR</v>
      </c>
      <c r="G19" s="21" t="str">
        <f t="shared" si="2"/>
        <v/>
      </c>
    </row>
    <row r="20" spans="1:7" ht="15" x14ac:dyDescent="0.25">
      <c r="A20" s="1" t="s">
        <v>29</v>
      </c>
      <c r="B20" s="10" t="s">
        <v>12</v>
      </c>
      <c r="C20" s="11">
        <v>123000</v>
      </c>
      <c r="D20" s="17">
        <f t="shared" si="0"/>
        <v>9</v>
      </c>
      <c r="E20" s="20">
        <f>IF(D20=1,B$1/RELATÓRIO!B$10,0)</f>
        <v>0</v>
      </c>
      <c r="F20" s="22" t="str">
        <f t="shared" si="1"/>
        <v>PODE MELHORAR</v>
      </c>
      <c r="G20" s="21" t="str">
        <f t="shared" si="2"/>
        <v>Computador</v>
      </c>
    </row>
    <row r="21" spans="1:7" ht="15" x14ac:dyDescent="0.25">
      <c r="A21" s="1" t="s">
        <v>30</v>
      </c>
      <c r="B21" s="10" t="s">
        <v>10</v>
      </c>
      <c r="C21" s="11">
        <v>76900</v>
      </c>
      <c r="D21" s="17">
        <f t="shared" si="0"/>
        <v>15</v>
      </c>
      <c r="E21" s="20">
        <f>IF(D21=1,B$1/RELATÓRIO!B$10,0)</f>
        <v>0</v>
      </c>
      <c r="F21" s="22" t="str">
        <f t="shared" si="1"/>
        <v>PODE MELHORAR</v>
      </c>
      <c r="G21" s="21" t="str">
        <f t="shared" si="2"/>
        <v/>
      </c>
    </row>
    <row r="22" spans="1:7" ht="15" x14ac:dyDescent="0.25">
      <c r="A22" s="1" t="s">
        <v>31</v>
      </c>
      <c r="B22" s="10" t="s">
        <v>10</v>
      </c>
      <c r="C22" s="11">
        <v>143000</v>
      </c>
      <c r="D22" s="17">
        <f t="shared" si="0"/>
        <v>4</v>
      </c>
      <c r="E22" s="20">
        <f>IF(D22=1,B$1/RELATÓRIO!B$10,0)</f>
        <v>0</v>
      </c>
      <c r="F22" s="22" t="str">
        <f t="shared" si="1"/>
        <v>ÓTIMO</v>
      </c>
      <c r="G22" s="21" t="str">
        <f t="shared" si="2"/>
        <v>Viagem para Natal</v>
      </c>
    </row>
    <row r="24" spans="1:7" ht="15" x14ac:dyDescent="0.25">
      <c r="A24" s="4"/>
    </row>
    <row r="25" spans="1:7" ht="15" x14ac:dyDescent="0.25">
      <c r="A25" s="4"/>
    </row>
    <row r="26" spans="1:7" ht="15" x14ac:dyDescent="0.25">
      <c r="A26" s="4"/>
    </row>
    <row r="27" spans="1:7" ht="15" x14ac:dyDescent="0.25">
      <c r="A27" s="4"/>
    </row>
    <row r="28" spans="1:7" ht="15" x14ac:dyDescent="0.25">
      <c r="A28" s="4"/>
      <c r="B28" s="4"/>
    </row>
    <row r="29" spans="1:7" ht="15" x14ac:dyDescent="0.25">
      <c r="A29" s="4"/>
      <c r="B29" s="4"/>
    </row>
    <row r="30" spans="1:7" ht="15" x14ac:dyDescent="0.25">
      <c r="A30" s="4"/>
      <c r="B30" s="4"/>
    </row>
    <row r="31" spans="1:7" ht="15" x14ac:dyDescent="0.25">
      <c r="A31" s="4"/>
      <c r="B31" s="4"/>
    </row>
    <row r="32" spans="1:7" ht="15" x14ac:dyDescent="0.25">
      <c r="A32" s="4"/>
      <c r="B32" s="4"/>
    </row>
    <row r="33" spans="1:5" ht="15" x14ac:dyDescent="0.25">
      <c r="A33" s="4"/>
      <c r="B33" s="4"/>
    </row>
    <row r="34" spans="1:5" ht="15" x14ac:dyDescent="0.25">
      <c r="A34" s="4"/>
      <c r="B34" s="6"/>
      <c r="C34" s="4"/>
      <c r="D34" s="5"/>
      <c r="E34" s="4"/>
    </row>
    <row r="35" spans="1:5" ht="15" x14ac:dyDescent="0.25">
      <c r="A35" s="4"/>
      <c r="B35" s="6"/>
      <c r="C35" s="4"/>
      <c r="D35" s="5"/>
      <c r="E35" s="4"/>
    </row>
    <row r="36" spans="1:5" ht="15" x14ac:dyDescent="0.25">
      <c r="A36" s="4"/>
      <c r="B36" s="6"/>
      <c r="C36" s="4"/>
      <c r="D36" s="5"/>
      <c r="E36" s="4"/>
    </row>
    <row r="37" spans="1:5" ht="15" x14ac:dyDescent="0.25">
      <c r="A37" s="4"/>
      <c r="B37" s="7"/>
      <c r="C37" s="4"/>
      <c r="D37" s="5"/>
      <c r="E37" s="4"/>
    </row>
    <row r="38" spans="1:5" ht="15" x14ac:dyDescent="0.25">
      <c r="A38" s="4"/>
      <c r="B38" s="7"/>
      <c r="C38" s="4"/>
      <c r="D38" s="5"/>
      <c r="E38" s="4"/>
    </row>
    <row r="39" spans="1:5" ht="15" x14ac:dyDescent="0.25">
      <c r="C39" s="4"/>
      <c r="D39" s="5"/>
      <c r="E39" s="4"/>
    </row>
    <row r="40" spans="1:5" ht="15" x14ac:dyDescent="0.25">
      <c r="C40" s="4"/>
      <c r="D40" s="5"/>
      <c r="E40" s="4"/>
    </row>
    <row r="41" spans="1:5" ht="15" x14ac:dyDescent="0.25">
      <c r="C41" s="4"/>
      <c r="D41" s="5"/>
      <c r="E41" s="4"/>
    </row>
    <row r="42" spans="1:5" ht="15" x14ac:dyDescent="0.25">
      <c r="C42" s="4"/>
      <c r="D42" s="5"/>
      <c r="E42" s="4"/>
    </row>
    <row r="43" spans="1:5" ht="15" x14ac:dyDescent="0.25">
      <c r="C43" s="4"/>
      <c r="D43" s="5"/>
      <c r="E43" s="4"/>
    </row>
    <row r="44" spans="1:5" ht="15" x14ac:dyDescent="0.25">
      <c r="C44" s="4"/>
      <c r="D44" s="5"/>
      <c r="E44" s="4"/>
    </row>
    <row r="45" spans="1:5" ht="15" x14ac:dyDescent="0.25">
      <c r="A45" s="4"/>
      <c r="B45" s="4"/>
      <c r="C45" s="4"/>
      <c r="D45" s="5"/>
      <c r="E45" s="4"/>
    </row>
    <row r="46" spans="1:5" ht="15" x14ac:dyDescent="0.25">
      <c r="A46" s="4"/>
      <c r="B46" s="4"/>
      <c r="C46" s="4"/>
      <c r="D46" s="5"/>
      <c r="E46" s="4"/>
    </row>
    <row r="47" spans="1:5" ht="15" x14ac:dyDescent="0.25">
      <c r="A47" s="4"/>
      <c r="B47" s="4"/>
      <c r="C47" s="4"/>
      <c r="D47" s="5"/>
      <c r="E47" s="4"/>
    </row>
    <row r="48" spans="1:5" ht="15" x14ac:dyDescent="0.25">
      <c r="A48" s="4"/>
      <c r="B48" s="4"/>
      <c r="C48" s="4"/>
      <c r="D48" s="5"/>
      <c r="E48" s="4"/>
    </row>
    <row r="49" spans="1:5" ht="15" x14ac:dyDescent="0.25">
      <c r="A49" s="4"/>
      <c r="B49" s="4"/>
      <c r="C49" s="4"/>
      <c r="D49" s="5"/>
      <c r="E49" s="4"/>
    </row>
    <row r="50" spans="1:5" ht="15" x14ac:dyDescent="0.25">
      <c r="A50" s="4"/>
      <c r="B50" s="4"/>
      <c r="C50" s="4"/>
      <c r="D50" s="5"/>
      <c r="E50" s="4"/>
    </row>
    <row r="51" spans="1:5" ht="15" x14ac:dyDescent="0.25">
      <c r="A51" s="4"/>
      <c r="B51" s="4"/>
      <c r="C51" s="4"/>
      <c r="D51" s="5"/>
      <c r="E51" s="4"/>
    </row>
    <row r="52" spans="1:5" ht="15" x14ac:dyDescent="0.25">
      <c r="A52" s="4"/>
      <c r="B52" s="4"/>
      <c r="C52" s="4"/>
      <c r="D52" s="5"/>
      <c r="E52" s="4"/>
    </row>
    <row r="53" spans="1:5" ht="15" x14ac:dyDescent="0.25">
      <c r="A53" s="4"/>
      <c r="B53" s="4"/>
      <c r="C53" s="4"/>
      <c r="D53" s="5"/>
      <c r="E53" s="4"/>
    </row>
    <row r="54" spans="1:5" ht="15" x14ac:dyDescent="0.25">
      <c r="A54" s="4"/>
      <c r="B54" s="4"/>
      <c r="C54" s="4"/>
      <c r="D54" s="5"/>
      <c r="E54" s="4"/>
    </row>
    <row r="55" spans="1:5" ht="15" x14ac:dyDescent="0.25">
      <c r="A55" s="4"/>
      <c r="B55" s="4"/>
      <c r="C55" s="4"/>
      <c r="D55" s="5"/>
      <c r="E55" s="4"/>
    </row>
    <row r="56" spans="1:5" ht="15" x14ac:dyDescent="0.25">
      <c r="A56" s="4"/>
      <c r="B56" s="4"/>
      <c r="C56" s="4"/>
      <c r="D56" s="5"/>
      <c r="E56" s="4"/>
    </row>
    <row r="57" spans="1:5" ht="15" x14ac:dyDescent="0.25">
      <c r="A57" s="4"/>
      <c r="B57" s="4"/>
      <c r="C57" s="4"/>
      <c r="D57" s="5"/>
      <c r="E57" s="4"/>
    </row>
    <row r="58" spans="1:5" ht="15" x14ac:dyDescent="0.25">
      <c r="A58" s="4"/>
      <c r="B58" s="4"/>
      <c r="C58" s="4"/>
      <c r="D58" s="5"/>
      <c r="E58" s="4"/>
    </row>
    <row r="59" spans="1:5" ht="15" x14ac:dyDescent="0.25">
      <c r="A59" s="4"/>
      <c r="B59" s="4"/>
      <c r="C59" s="4"/>
      <c r="D59" s="5"/>
      <c r="E59" s="4"/>
    </row>
    <row r="60" spans="1:5" ht="15" x14ac:dyDescent="0.25">
      <c r="A60" s="4"/>
      <c r="B60" s="4"/>
      <c r="C60" s="4"/>
      <c r="D60" s="5"/>
      <c r="E60" s="4"/>
    </row>
    <row r="61" spans="1:5" ht="15" x14ac:dyDescent="0.25">
      <c r="A61" s="4"/>
      <c r="B61" s="4"/>
      <c r="C61" s="4"/>
      <c r="D61" s="5"/>
      <c r="E61" s="4"/>
    </row>
    <row r="62" spans="1:5" ht="15" x14ac:dyDescent="0.25">
      <c r="A62" s="4"/>
      <c r="B62" s="4"/>
      <c r="C62" s="4"/>
      <c r="D62" s="5"/>
      <c r="E62" s="4"/>
    </row>
    <row r="63" spans="1:5" ht="15" x14ac:dyDescent="0.25">
      <c r="A63" s="4"/>
      <c r="B63" s="4"/>
      <c r="C63" s="4"/>
      <c r="D63" s="5"/>
      <c r="E63" s="4"/>
    </row>
    <row r="64" spans="1:5" ht="15" x14ac:dyDescent="0.25">
      <c r="A64" s="4"/>
      <c r="B64" s="4"/>
      <c r="C64" s="4"/>
      <c r="D64" s="5"/>
      <c r="E64" s="4"/>
    </row>
    <row r="65" spans="1:5" ht="15" x14ac:dyDescent="0.25">
      <c r="A65" s="4"/>
      <c r="B65" s="4"/>
      <c r="C65" s="4"/>
      <c r="D65" s="5"/>
      <c r="E65" s="4"/>
    </row>
    <row r="66" spans="1:5" ht="15" x14ac:dyDescent="0.25">
      <c r="A66" s="4"/>
      <c r="B66" s="4"/>
      <c r="C66" s="4"/>
      <c r="D66" s="5"/>
      <c r="E66" s="4"/>
    </row>
    <row r="67" spans="1:5" ht="15" x14ac:dyDescent="0.25">
      <c r="A67" s="4"/>
      <c r="B67" s="4"/>
      <c r="C67" s="4"/>
      <c r="D67" s="5"/>
      <c r="E67" s="4"/>
    </row>
    <row r="68" spans="1:5" ht="15" x14ac:dyDescent="0.25">
      <c r="A68" s="4"/>
      <c r="B68" s="4"/>
      <c r="C68" s="4"/>
      <c r="D68" s="5"/>
      <c r="E68" s="4"/>
    </row>
    <row r="69" spans="1:5" ht="15" x14ac:dyDescent="0.25">
      <c r="A69" s="4"/>
      <c r="B69" s="4"/>
      <c r="C69" s="4"/>
      <c r="D69" s="5"/>
      <c r="E69" s="4"/>
    </row>
    <row r="70" spans="1:5" ht="15" x14ac:dyDescent="0.25">
      <c r="A70" s="4"/>
      <c r="B70" s="4"/>
      <c r="C70" s="4"/>
      <c r="D70" s="5"/>
      <c r="E70" s="4"/>
    </row>
    <row r="71" spans="1:5" ht="15" x14ac:dyDescent="0.25">
      <c r="A71" s="4"/>
      <c r="B71" s="4"/>
      <c r="C71" s="4"/>
      <c r="D71" s="5"/>
      <c r="E71" s="4"/>
    </row>
    <row r="72" spans="1:5" ht="15" x14ac:dyDescent="0.25">
      <c r="A72" s="4"/>
      <c r="B72" s="4"/>
      <c r="C72" s="4"/>
      <c r="D72" s="5"/>
      <c r="E72" s="4"/>
    </row>
    <row r="73" spans="1:5" ht="15" x14ac:dyDescent="0.25">
      <c r="A73" s="4"/>
      <c r="B73" s="4"/>
      <c r="C73" s="4"/>
      <c r="D73" s="5"/>
      <c r="E73" s="4"/>
    </row>
    <row r="74" spans="1:5" ht="15" x14ac:dyDescent="0.25">
      <c r="A74" s="4"/>
      <c r="B74" s="4"/>
      <c r="C74" s="4"/>
      <c r="D74" s="5"/>
      <c r="E74" s="4"/>
    </row>
    <row r="75" spans="1:5" ht="15" x14ac:dyDescent="0.25">
      <c r="A75" s="4"/>
      <c r="B75" s="4"/>
      <c r="C75" s="4"/>
      <c r="D75" s="5"/>
      <c r="E75" s="4"/>
    </row>
    <row r="76" spans="1:5" ht="15" x14ac:dyDescent="0.25">
      <c r="A76" s="4"/>
      <c r="B76" s="4"/>
      <c r="C76" s="4"/>
      <c r="D76" s="5"/>
      <c r="E76" s="4"/>
    </row>
    <row r="77" spans="1:5" ht="15" x14ac:dyDescent="0.25">
      <c r="A77" s="4"/>
      <c r="B77" s="4"/>
      <c r="C77" s="4"/>
      <c r="D77" s="5"/>
      <c r="E77" s="4"/>
    </row>
    <row r="78" spans="1:5" ht="15" x14ac:dyDescent="0.25">
      <c r="A78" s="4"/>
      <c r="B78" s="4"/>
      <c r="C78" s="4"/>
      <c r="D78" s="5"/>
      <c r="E78" s="4"/>
    </row>
    <row r="79" spans="1:5" ht="15" x14ac:dyDescent="0.25">
      <c r="A79" s="4"/>
      <c r="B79" s="4"/>
      <c r="C79" s="4"/>
      <c r="D79" s="5"/>
      <c r="E79" s="4"/>
    </row>
    <row r="80" spans="1:5" ht="15" x14ac:dyDescent="0.25">
      <c r="A80" s="4"/>
      <c r="B80" s="4"/>
      <c r="C80" s="4"/>
      <c r="D80" s="5"/>
      <c r="E80" s="4"/>
    </row>
    <row r="81" spans="1:5" ht="15" x14ac:dyDescent="0.25">
      <c r="A81" s="4"/>
      <c r="B81" s="4"/>
      <c r="C81" s="4"/>
      <c r="D81" s="5"/>
      <c r="E81" s="4"/>
    </row>
    <row r="82" spans="1:5" ht="15" x14ac:dyDescent="0.25">
      <c r="A82" s="4"/>
      <c r="B82" s="4"/>
      <c r="C82" s="4"/>
      <c r="D82" s="5"/>
      <c r="E82" s="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B16" sqref="B16"/>
    </sheetView>
  </sheetViews>
  <sheetFormatPr defaultColWidth="9.140625" defaultRowHeight="15" x14ac:dyDescent="0.25"/>
  <cols>
    <col min="1" max="1" width="20.7109375" style="8" customWidth="1"/>
    <col min="2" max="2" width="13.85546875" style="8" customWidth="1"/>
    <col min="3" max="3" width="9.140625" style="8"/>
    <col min="4" max="4" width="35.7109375" style="8" bestFit="1" customWidth="1"/>
    <col min="5" max="5" width="13.85546875" style="8" bestFit="1" customWidth="1"/>
    <col min="6" max="6" width="9.140625" style="8"/>
    <col min="7" max="7" width="34.28515625" style="8" bestFit="1" customWidth="1"/>
    <col min="8" max="16384" width="9.140625" style="8"/>
  </cols>
  <sheetData>
    <row r="1" spans="1:5" x14ac:dyDescent="0.25">
      <c r="A1" s="15" t="s">
        <v>32</v>
      </c>
      <c r="B1" s="15"/>
      <c r="D1" s="15" t="s">
        <v>10</v>
      </c>
      <c r="E1" s="15"/>
    </row>
    <row r="2" spans="1:5" x14ac:dyDescent="0.25">
      <c r="A2" s="9" t="s">
        <v>33</v>
      </c>
      <c r="B2" s="19">
        <f>MAX(VENDAS!C3:C22)</f>
        <v>150000</v>
      </c>
      <c r="D2" s="9" t="s">
        <v>34</v>
      </c>
      <c r="E2" s="18">
        <f>COUNTIF(VENDAS!B$3:B$22,D1)</f>
        <v>8</v>
      </c>
    </row>
    <row r="3" spans="1:5" x14ac:dyDescent="0.25">
      <c r="A3" s="9" t="s">
        <v>35</v>
      </c>
      <c r="B3" s="19">
        <f>MIN(VENDAS!C3:C22)</f>
        <v>23000</v>
      </c>
      <c r="D3" s="9" t="s">
        <v>36</v>
      </c>
      <c r="E3" s="18">
        <f>COUNTIFS(VENDAS!B$3:B$22,"USADOS",VENDAS!D$3:D$22,"1")</f>
        <v>0</v>
      </c>
    </row>
    <row r="4" spans="1:5" x14ac:dyDescent="0.25">
      <c r="A4" s="9" t="s">
        <v>37</v>
      </c>
      <c r="B4" s="19">
        <f>AVERAGE(VENDAS!C3:C22)</f>
        <v>107108.94736842105</v>
      </c>
      <c r="D4" s="9" t="s">
        <v>38</v>
      </c>
      <c r="E4" s="19">
        <f>AVERAGEIF(VENDAS!B$3:B$22,"USADOS",VENDAS!C$3:C$22)</f>
        <v>101587.5</v>
      </c>
    </row>
    <row r="5" spans="1:5" x14ac:dyDescent="0.25">
      <c r="D5" s="9" t="s">
        <v>39</v>
      </c>
      <c r="E5" s="19">
        <f>AVERAGEIFS(VENDAS!C$3:C$22,VENDAS!B$3:B$22,RELATÓRIO!D1,VENDAS!D$3:D$22,"&lt;&gt;1")</f>
        <v>101587.5</v>
      </c>
    </row>
    <row r="6" spans="1:5" x14ac:dyDescent="0.25">
      <c r="A6" s="15" t="s">
        <v>40</v>
      </c>
      <c r="B6" s="15"/>
    </row>
    <row r="7" spans="1:5" x14ac:dyDescent="0.25">
      <c r="A7" s="9" t="s">
        <v>41</v>
      </c>
      <c r="B7" s="18">
        <f>COUNTA(VENDAS!A3:A22)</f>
        <v>20</v>
      </c>
      <c r="D7" s="15" t="s">
        <v>12</v>
      </c>
      <c r="E7" s="15"/>
    </row>
    <row r="8" spans="1:5" x14ac:dyDescent="0.25">
      <c r="A8" s="9" t="s">
        <v>42</v>
      </c>
      <c r="B8" s="18">
        <f>COUNTBLANK(VENDAS!C3:C22)</f>
        <v>1</v>
      </c>
      <c r="D8" s="9" t="s">
        <v>34</v>
      </c>
      <c r="E8" s="18">
        <f>COUNTIF(VENDAS!B$3:B$22,D7)</f>
        <v>7</v>
      </c>
    </row>
    <row r="9" spans="1:5" x14ac:dyDescent="0.25">
      <c r="A9" s="9" t="s">
        <v>43</v>
      </c>
      <c r="B9" s="18">
        <f>COUNT(VENDAS!C3:C22)</f>
        <v>19</v>
      </c>
      <c r="D9" s="9" t="s">
        <v>36</v>
      </c>
      <c r="E9" s="18">
        <f>COUNTIFS(VENDAS!B$3:B$22,"ZERO KM",VENDAS!D$3:D$22,"1")</f>
        <v>1</v>
      </c>
    </row>
    <row r="10" spans="1:5" x14ac:dyDescent="0.25">
      <c r="A10" s="9" t="s">
        <v>44</v>
      </c>
      <c r="B10" s="18">
        <f>COUNTIFS(VENDAS!D3:D22,"1")</f>
        <v>2</v>
      </c>
      <c r="D10" s="9" t="s">
        <v>38</v>
      </c>
      <c r="E10" s="19">
        <f>AVERAGEIF(VENDAS!B$3:B$22,"ZERO KM",VENDAS!C$3:C$22)</f>
        <v>123624.28571428571</v>
      </c>
    </row>
    <row r="11" spans="1:5" x14ac:dyDescent="0.25">
      <c r="D11" s="9" t="s">
        <v>39</v>
      </c>
      <c r="E11" s="19">
        <f>AVERAGEIFS(VENDAS!C$3:C$22,VENDAS!B$3:B$22,RELATÓRIO!D7,VENDAS!D$3:D$22,"&lt;&gt;1")</f>
        <v>119228.33333333333</v>
      </c>
    </row>
    <row r="13" spans="1:5" x14ac:dyDescent="0.25">
      <c r="D13" s="15" t="s">
        <v>14</v>
      </c>
      <c r="E13" s="15"/>
    </row>
    <row r="14" spans="1:5" x14ac:dyDescent="0.25">
      <c r="D14" s="9" t="s">
        <v>34</v>
      </c>
      <c r="E14" s="18">
        <f>COUNTIF(VENDAS!B$3:B$22,D13)</f>
        <v>5</v>
      </c>
    </row>
    <row r="15" spans="1:5" x14ac:dyDescent="0.25">
      <c r="D15" s="9" t="s">
        <v>36</v>
      </c>
      <c r="E15" s="18">
        <f>COUNTIFS(VENDAS!B$3:B$22,D13,VENDAS!D$3:D$22,"1")</f>
        <v>1</v>
      </c>
    </row>
    <row r="16" spans="1:5" x14ac:dyDescent="0.25">
      <c r="D16" s="9" t="s">
        <v>38</v>
      </c>
      <c r="E16" s="19">
        <f>AVERAGEIF(VENDAS!B$3:B$22,D13,VENDAS!C$3:C$22)</f>
        <v>89250</v>
      </c>
    </row>
    <row r="17" spans="4:5" x14ac:dyDescent="0.25">
      <c r="D17" s="9" t="s">
        <v>39</v>
      </c>
      <c r="E17" s="19">
        <f>AVERAGEIFS(VENDAS!C$3:C$22,VENDAS!B$3:B$22,RELATÓRIO!D13,VENDAS!D$3:D$22,"&lt;&gt;1")</f>
        <v>69000</v>
      </c>
    </row>
  </sheetData>
  <mergeCells count="5">
    <mergeCell ref="A6:B6"/>
    <mergeCell ref="A1:B1"/>
    <mergeCell ref="D1:E1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74CE-0AC4-45E0-87E1-023111C507E3}">
  <dimension ref="A1"/>
  <sheetViews>
    <sheetView workbookViewId="0">
      <selection activeCell="M11" sqref="M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1ACA-6935-44BB-BFC3-901EE33BEF09}">
  <dimension ref="A1"/>
  <sheetViews>
    <sheetView workbookViewId="0">
      <selection activeCell="P4" sqref="P4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70FA-B59B-4DEB-9173-9D7F305DD510}">
  <dimension ref="A1"/>
  <sheetViews>
    <sheetView workbookViewId="0">
      <selection activeCell="A13" sqref="A13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5D6F-1863-4CCC-AAA1-BE67AC4BDAF7}">
  <dimension ref="A1"/>
  <sheetViews>
    <sheetView workbookViewId="0">
      <selection activeCell="Q11" sqref="Q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AC51-4F82-40C0-8A39-0CDA12AEEE60}">
  <dimension ref="A1"/>
  <sheetViews>
    <sheetView workbookViewId="0">
      <selection activeCell="O9" sqref="O9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3114-9C41-468D-A2B0-E5C34E0FFE17}">
  <dimension ref="A1"/>
  <sheetViews>
    <sheetView workbookViewId="0">
      <selection activeCell="O11" sqref="O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4E7D-FFBE-4859-A12E-69475B782D9B}">
  <dimension ref="A1"/>
  <sheetViews>
    <sheetView workbookViewId="0">
      <selection activeCell="D24" sqref="D24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DD7-46AF-4C20-87DA-790F00DE44A4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VENDAS</vt:lpstr>
      <vt:lpstr>RELATÓRIO</vt:lpstr>
      <vt:lpstr>MÁXIMO e MÍNIMO</vt:lpstr>
      <vt:lpstr>MÉDIA E ORDEM.EQ</vt:lpstr>
      <vt:lpstr>CONT.VALORES E CONTAR VAZIO</vt:lpstr>
      <vt:lpstr>CONT.NÚM E CONT.SES</vt:lpstr>
      <vt:lpstr>MÉDIASE</vt:lpstr>
      <vt:lpstr>SE</vt:lpstr>
      <vt:lpstr>OU</vt:lpstr>
      <vt:lpstr>SEERRO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Maia</dc:creator>
  <cp:keywords/>
  <dc:description/>
  <cp:lastModifiedBy>Luan Miguel Santos Pulzi</cp:lastModifiedBy>
  <cp:revision/>
  <dcterms:created xsi:type="dcterms:W3CDTF">2000-04-04T21:09:06Z</dcterms:created>
  <dcterms:modified xsi:type="dcterms:W3CDTF">2026-03-31T17:40:47Z</dcterms:modified>
  <cp:category/>
  <cp:contentStatus/>
</cp:coreProperties>
</file>