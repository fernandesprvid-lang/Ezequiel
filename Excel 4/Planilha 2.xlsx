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zequiel\Excel 4\"/>
    </mc:Choice>
  </mc:AlternateContent>
  <xr:revisionPtr revIDLastSave="0" documentId="8_{45980B4C-DD19-4C13-BD86-11C148B571CA}" xr6:coauthVersionLast="47" xr6:coauthVersionMax="47" xr10:uidLastSave="{00000000-0000-0000-0000-000000000000}"/>
  <bookViews>
    <workbookView xWindow="-105" yWindow="0" windowWidth="14610" windowHeight="8205" xr2:uid="{9C8581F2-F17B-43D2-9987-D644B57B02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E3" i="1"/>
  <c r="E4" i="1"/>
  <c r="E5" i="1"/>
  <c r="E6" i="1"/>
  <c r="E7" i="1"/>
  <c r="E8" i="1"/>
  <c r="D4" i="1"/>
  <c r="D5" i="1"/>
  <c r="D6" i="1"/>
  <c r="D7" i="1"/>
  <c r="D8" i="1"/>
  <c r="D3" i="1"/>
  <c r="C4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<sst xmlns="http://schemas.openxmlformats.org/spreadsheetml/2006/main" count="17" uniqueCount="15">
  <si>
    <t>PLANO DE SAÚDE</t>
  </si>
  <si>
    <t>Departamentos</t>
  </si>
  <si>
    <t>Sálario Bruto</t>
  </si>
  <si>
    <t>Preço para Empresa</t>
  </si>
  <si>
    <t>Preço para Funcionário</t>
  </si>
  <si>
    <t>Preço do Plano</t>
  </si>
  <si>
    <t>Diretória</t>
  </si>
  <si>
    <t>Corpo Docente</t>
  </si>
  <si>
    <t>Secretária</t>
  </si>
  <si>
    <t>Limpeza</t>
  </si>
  <si>
    <t>Cozinha</t>
  </si>
  <si>
    <t>Manutenção</t>
  </si>
  <si>
    <t>Faixa Salarial</t>
  </si>
  <si>
    <t>Categoria do Plano Médico</t>
  </si>
  <si>
    <t>Particiáção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</si>
</sst>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43" fontId="0" fillId="3" borderId="1" xfId="1" applyNumberFormat="1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0" borderId="0" xfId="0" applyFill="1"/>
    <xf numFmtId="0" fontId="0" fillId="0" borderId="0" xfId="0" applyFill="1" applyBorder="1"/>
    <xf numFmtId="43" fontId="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2" fillId="3" borderId="1" xfId="1" applyNumberFormat="1" applyFont="1" applyFill="1" applyBorder="1"/>
    <xf numFmtId="43" fontId="2" fillId="3" borderId="1" xfId="0" applyNumberFormat="1" applyFont="1" applyFill="1" applyBorder="1"/>
    <xf numFmtId="0" fontId="3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2A42-A396-4419-A821-C21A09582D54}">
  <dimension ref="A1:F16"/>
  <sheetViews>
    <sheetView tabSelected="1" workbookViewId="0">
      <selection activeCell="G4" sqref="G4"/>
    </sheetView>
  </sheetViews>
  <sheetFormatPr defaultRowHeight="15" x14ac:dyDescent="0.25"/>
  <cols>
    <col min="1" max="1" width="20.85546875" customWidth="1"/>
    <col min="2" max="2" width="15.28515625" customWidth="1"/>
    <col min="3" max="4" width="12.140625" customWidth="1"/>
    <col min="5" max="5" width="15.7109375" customWidth="1"/>
    <col min="6" max="6" width="18.28515625" customWidth="1"/>
  </cols>
  <sheetData>
    <row r="1" spans="1:6" x14ac:dyDescent="0.25">
      <c r="A1" s="15" t="s">
        <v>0</v>
      </c>
      <c r="B1" s="15"/>
      <c r="C1" s="15"/>
      <c r="D1" s="15"/>
      <c r="E1" s="15"/>
      <c r="F1" s="15"/>
    </row>
    <row r="2" spans="1:6" ht="45" x14ac:dyDescent="0.25">
      <c r="A2" s="1" t="s">
        <v>1</v>
      </c>
      <c r="B2" s="1" t="s">
        <v>2</v>
      </c>
      <c r="C2" s="2" t="s">
        <v>13</v>
      </c>
      <c r="D2" s="2" t="s">
        <v>5</v>
      </c>
      <c r="E2" s="2" t="s">
        <v>3</v>
      </c>
      <c r="F2" s="2" t="s">
        <v>4</v>
      </c>
    </row>
    <row r="3" spans="1:6" x14ac:dyDescent="0.25">
      <c r="A3" s="3" t="s">
        <v>6</v>
      </c>
      <c r="B3" s="4">
        <v>4200</v>
      </c>
      <c r="C3" s="12">
        <f>VLOOKUP(B3,A$11:D16,2,TRUE)</f>
        <v>4</v>
      </c>
      <c r="D3" s="13">
        <f>VLOOKUP(B3,A$11:D16,3,TRUE)</f>
        <v>450</v>
      </c>
      <c r="E3" s="13">
        <f>D3*VLOOKUP(B3,A$11:D$16,4,TRUE)</f>
        <v>54</v>
      </c>
      <c r="F3" s="14">
        <f>D3-E3</f>
        <v>396</v>
      </c>
    </row>
    <row r="4" spans="1:6" x14ac:dyDescent="0.25">
      <c r="A4" s="3" t="s">
        <v>7</v>
      </c>
      <c r="B4" s="4">
        <v>1900</v>
      </c>
      <c r="C4" s="12">
        <f>VLOOKUP(B4,A$11:D17,2,TRUE)</f>
        <v>2</v>
      </c>
      <c r="D4" s="13">
        <f>VLOOKUP(B4,A$11:D17,3,TRUE)</f>
        <v>140</v>
      </c>
      <c r="E4" s="13">
        <f t="shared" ref="E4:E8" si="0">D4*VLOOKUP(B4,A$11:D$16,4,TRUE)</f>
        <v>112</v>
      </c>
      <c r="F4" s="14">
        <f t="shared" ref="F4:F8" si="1">D4-E4</f>
        <v>28</v>
      </c>
    </row>
    <row r="5" spans="1:6" x14ac:dyDescent="0.25">
      <c r="A5" s="3" t="s">
        <v>8</v>
      </c>
      <c r="B5" s="4">
        <v>2100</v>
      </c>
      <c r="C5" s="12">
        <f>VLOOKUP(B5,A$11:D18,2,TRUE)</f>
        <v>3</v>
      </c>
      <c r="D5" s="13">
        <f>VLOOKUP(B5,A$11:D18,3,TRUE)</f>
        <v>230</v>
      </c>
      <c r="E5" s="13">
        <f t="shared" si="0"/>
        <v>138</v>
      </c>
      <c r="F5" s="14">
        <f t="shared" si="1"/>
        <v>92</v>
      </c>
    </row>
    <row r="6" spans="1:6" x14ac:dyDescent="0.25">
      <c r="A6" s="3" t="s">
        <v>9</v>
      </c>
      <c r="B6" s="4">
        <v>510</v>
      </c>
      <c r="C6" s="12">
        <f>VLOOKUP(B6,A$11:D19,2,TRUE)</f>
        <v>1</v>
      </c>
      <c r="D6" s="13">
        <f>VLOOKUP(B6,A$11:D19,3,TRUE)</f>
        <v>80</v>
      </c>
      <c r="E6" s="13">
        <f t="shared" si="0"/>
        <v>72</v>
      </c>
      <c r="F6" s="14">
        <f t="shared" si="1"/>
        <v>8</v>
      </c>
    </row>
    <row r="7" spans="1:6" x14ac:dyDescent="0.25">
      <c r="A7" s="3" t="s">
        <v>10</v>
      </c>
      <c r="B7" s="4">
        <v>700</v>
      </c>
      <c r="C7" s="12">
        <f>VLOOKUP(B7,A$11:D20,2,TRUE)</f>
        <v>1</v>
      </c>
      <c r="D7" s="13">
        <f>VLOOKUP(B7,A$11:D20,3,TRUE)</f>
        <v>80</v>
      </c>
      <c r="E7" s="13">
        <f t="shared" si="0"/>
        <v>72</v>
      </c>
      <c r="F7" s="14">
        <f t="shared" si="1"/>
        <v>8</v>
      </c>
    </row>
    <row r="8" spans="1:6" x14ac:dyDescent="0.25">
      <c r="A8" s="3" t="s">
        <v>11</v>
      </c>
      <c r="B8" s="4">
        <v>1200</v>
      </c>
      <c r="C8" s="12">
        <f>VLOOKUP(B8,A$11:D21,2,TRUE)</f>
        <v>2</v>
      </c>
      <c r="D8" s="13">
        <f>VLOOKUP(B8,A$11:D21,3,TRUE)</f>
        <v>140</v>
      </c>
      <c r="E8" s="13">
        <f t="shared" si="0"/>
        <v>112</v>
      </c>
      <c r="F8" s="14">
        <f t="shared" si="1"/>
        <v>28</v>
      </c>
    </row>
    <row r="10" spans="1:6" x14ac:dyDescent="0.25">
      <c r="E10" s="7"/>
    </row>
    <row r="11" spans="1:6" ht="30" x14ac:dyDescent="0.25">
      <c r="A11" s="5" t="s">
        <v>12</v>
      </c>
      <c r="B11" s="6" t="s">
        <v>13</v>
      </c>
      <c r="C11" s="6" t="s">
        <v>5</v>
      </c>
      <c r="D11" s="6" t="s">
        <v>14</v>
      </c>
      <c r="E11" s="8"/>
    </row>
    <row r="12" spans="1:6" x14ac:dyDescent="0.25">
      <c r="A12" s="9">
        <v>500</v>
      </c>
      <c r="B12" s="10">
        <v>1</v>
      </c>
      <c r="C12" s="9">
        <v>80</v>
      </c>
      <c r="D12" s="11">
        <v>0.9</v>
      </c>
      <c r="E12" s="7"/>
    </row>
    <row r="13" spans="1:6" x14ac:dyDescent="0.25">
      <c r="A13" s="9">
        <v>1000</v>
      </c>
      <c r="B13" s="10">
        <v>2</v>
      </c>
      <c r="C13" s="9">
        <v>140</v>
      </c>
      <c r="D13" s="11">
        <v>0.8</v>
      </c>
    </row>
    <row r="14" spans="1:6" x14ac:dyDescent="0.25">
      <c r="A14" s="9">
        <v>2000</v>
      </c>
      <c r="B14" s="10">
        <v>3</v>
      </c>
      <c r="C14" s="9">
        <v>230</v>
      </c>
      <c r="D14" s="11">
        <v>0.6</v>
      </c>
    </row>
    <row r="15" spans="1:6" x14ac:dyDescent="0.25">
      <c r="A15" s="9">
        <v>3000</v>
      </c>
      <c r="B15" s="10">
        <v>4</v>
      </c>
      <c r="C15" s="9">
        <v>450</v>
      </c>
      <c r="D15" s="11">
        <v>0.12</v>
      </c>
    </row>
    <row r="16" spans="1:6" x14ac:dyDescent="0.25">
      <c r="A16" s="9">
        <v>5000</v>
      </c>
      <c r="B16" s="10">
        <v>5</v>
      </c>
      <c r="C16" s="9">
        <v>800</v>
      </c>
      <c r="D16" s="11">
        <v>0.09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2026-03-26T16:36:38Z</dcterms:created>
  <dcterms:modified xsi:type="dcterms:W3CDTF">2026-03-26T16:54:02Z</dcterms:modified>
</cp:coreProperties>
</file>